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vil\BITSoM\Assignments\Capstone\part1_data_cleaning\data\"/>
    </mc:Choice>
  </mc:AlternateContent>
  <xr:revisionPtr revIDLastSave="0" documentId="8_{7E0E4A0F-447B-4B22-9F63-3145ADACB6FE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cleaned_order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913" i="1" l="1"/>
  <c r="AB913" i="1"/>
  <c r="AA913" i="1"/>
  <c r="Z913" i="1"/>
  <c r="W913" i="1"/>
  <c r="V913" i="1"/>
  <c r="AD913" i="1" s="1"/>
  <c r="AC912" i="1"/>
  <c r="AB912" i="1"/>
  <c r="AA912" i="1"/>
  <c r="Z912" i="1"/>
  <c r="V912" i="1"/>
  <c r="W912" i="1" s="1"/>
  <c r="AC911" i="1"/>
  <c r="AB911" i="1"/>
  <c r="AA911" i="1"/>
  <c r="Z911" i="1"/>
  <c r="V911" i="1"/>
  <c r="W911" i="1" s="1"/>
  <c r="AC910" i="1"/>
  <c r="AB910" i="1"/>
  <c r="AA910" i="1"/>
  <c r="Z910" i="1"/>
  <c r="V910" i="1"/>
  <c r="W910" i="1" s="1"/>
  <c r="AC909" i="1"/>
  <c r="AB909" i="1"/>
  <c r="AA909" i="1"/>
  <c r="Z909" i="1"/>
  <c r="W909" i="1"/>
  <c r="V909" i="1"/>
  <c r="AD909" i="1" s="1"/>
  <c r="AC908" i="1"/>
  <c r="AB908" i="1"/>
  <c r="AA908" i="1"/>
  <c r="Z908" i="1"/>
  <c r="V908" i="1"/>
  <c r="W908" i="1" s="1"/>
  <c r="AC907" i="1"/>
  <c r="AB907" i="1"/>
  <c r="AA907" i="1"/>
  <c r="Z907" i="1"/>
  <c r="W907" i="1"/>
  <c r="V907" i="1"/>
  <c r="AD907" i="1" s="1"/>
  <c r="AC906" i="1"/>
  <c r="AB906" i="1"/>
  <c r="AA906" i="1"/>
  <c r="Z906" i="1"/>
  <c r="V906" i="1"/>
  <c r="W906" i="1" s="1"/>
  <c r="AC905" i="1"/>
  <c r="AB905" i="1"/>
  <c r="AA905" i="1"/>
  <c r="Z905" i="1"/>
  <c r="Y905" i="1"/>
  <c r="W905" i="1"/>
  <c r="X905" i="1" s="1"/>
  <c r="V905" i="1"/>
  <c r="AD905" i="1" s="1"/>
  <c r="AC904" i="1"/>
  <c r="AB904" i="1"/>
  <c r="AA904" i="1"/>
  <c r="Z904" i="1"/>
  <c r="V904" i="1"/>
  <c r="W904" i="1" s="1"/>
  <c r="AC903" i="1"/>
  <c r="AB903" i="1"/>
  <c r="AA903" i="1"/>
  <c r="Z903" i="1"/>
  <c r="Y903" i="1"/>
  <c r="V903" i="1"/>
  <c r="W903" i="1" s="1"/>
  <c r="X903" i="1" s="1"/>
  <c r="AC902" i="1"/>
  <c r="AB902" i="1"/>
  <c r="AA902" i="1"/>
  <c r="Z902" i="1"/>
  <c r="V902" i="1"/>
  <c r="W902" i="1" s="1"/>
  <c r="AC901" i="1"/>
  <c r="AB901" i="1"/>
  <c r="AA901" i="1"/>
  <c r="Z901" i="1"/>
  <c r="W901" i="1"/>
  <c r="V901" i="1"/>
  <c r="AD900" i="1"/>
  <c r="AC900" i="1"/>
  <c r="AB900" i="1"/>
  <c r="AA900" i="1"/>
  <c r="Z900" i="1"/>
  <c r="V900" i="1"/>
  <c r="W900" i="1" s="1"/>
  <c r="AC899" i="1"/>
  <c r="AB899" i="1"/>
  <c r="AA899" i="1"/>
  <c r="Z899" i="1"/>
  <c r="W899" i="1"/>
  <c r="V899" i="1"/>
  <c r="AC898" i="1"/>
  <c r="AB898" i="1"/>
  <c r="AA898" i="1"/>
  <c r="Z898" i="1"/>
  <c r="V898" i="1"/>
  <c r="W898" i="1" s="1"/>
  <c r="AC897" i="1"/>
  <c r="AB897" i="1"/>
  <c r="AA897" i="1"/>
  <c r="Z897" i="1"/>
  <c r="W897" i="1"/>
  <c r="X897" i="1" s="1"/>
  <c r="V897" i="1"/>
  <c r="AD897" i="1" s="1"/>
  <c r="AC896" i="1"/>
  <c r="AB896" i="1"/>
  <c r="AA896" i="1"/>
  <c r="Z896" i="1"/>
  <c r="X896" i="1"/>
  <c r="Y896" i="1" s="1"/>
  <c r="W896" i="1"/>
  <c r="V896" i="1"/>
  <c r="AD896" i="1" s="1"/>
  <c r="AC895" i="1"/>
  <c r="AB895" i="1"/>
  <c r="AA895" i="1"/>
  <c r="Z895" i="1"/>
  <c r="V895" i="1"/>
  <c r="W895" i="1" s="1"/>
  <c r="AC894" i="1"/>
  <c r="AB894" i="1"/>
  <c r="AA894" i="1"/>
  <c r="Z894" i="1"/>
  <c r="V894" i="1"/>
  <c r="W894" i="1" s="1"/>
  <c r="AC893" i="1"/>
  <c r="AB893" i="1"/>
  <c r="AA893" i="1"/>
  <c r="Z893" i="1"/>
  <c r="W893" i="1"/>
  <c r="V893" i="1"/>
  <c r="AD892" i="1"/>
  <c r="AC892" i="1"/>
  <c r="AB892" i="1"/>
  <c r="AA892" i="1"/>
  <c r="Z892" i="1"/>
  <c r="V892" i="1"/>
  <c r="W892" i="1" s="1"/>
  <c r="AC891" i="1"/>
  <c r="AB891" i="1"/>
  <c r="AA891" i="1"/>
  <c r="Z891" i="1"/>
  <c r="W891" i="1"/>
  <c r="V891" i="1"/>
  <c r="AD890" i="1"/>
  <c r="AC890" i="1"/>
  <c r="AB890" i="1"/>
  <c r="AA890" i="1"/>
  <c r="Z890" i="1"/>
  <c r="V890" i="1"/>
  <c r="W890" i="1" s="1"/>
  <c r="X890" i="1" s="1"/>
  <c r="AC889" i="1"/>
  <c r="AB889" i="1"/>
  <c r="AA889" i="1"/>
  <c r="Z889" i="1"/>
  <c r="W889" i="1"/>
  <c r="X889" i="1" s="1"/>
  <c r="V889" i="1"/>
  <c r="AD889" i="1" s="1"/>
  <c r="AC888" i="1"/>
  <c r="AB888" i="1"/>
  <c r="AA888" i="1"/>
  <c r="Z888" i="1"/>
  <c r="X888" i="1"/>
  <c r="V888" i="1"/>
  <c r="W888" i="1" s="1"/>
  <c r="AC887" i="1"/>
  <c r="AB887" i="1"/>
  <c r="AA887" i="1"/>
  <c r="Z887" i="1"/>
  <c r="Y887" i="1"/>
  <c r="W887" i="1"/>
  <c r="X887" i="1" s="1"/>
  <c r="V887" i="1"/>
  <c r="AD887" i="1" s="1"/>
  <c r="AC886" i="1"/>
  <c r="AB886" i="1"/>
  <c r="AA886" i="1"/>
  <c r="Z886" i="1"/>
  <c r="V886" i="1"/>
  <c r="W886" i="1" s="1"/>
  <c r="AC885" i="1"/>
  <c r="AB885" i="1"/>
  <c r="AA885" i="1"/>
  <c r="Z885" i="1"/>
  <c r="W885" i="1"/>
  <c r="X885" i="1" s="1"/>
  <c r="Y885" i="1" s="1"/>
  <c r="V885" i="1"/>
  <c r="AD884" i="1"/>
  <c r="AC884" i="1"/>
  <c r="AB884" i="1"/>
  <c r="AA884" i="1"/>
  <c r="Z884" i="1"/>
  <c r="V884" i="1"/>
  <c r="W884" i="1" s="1"/>
  <c r="AC883" i="1"/>
  <c r="AB883" i="1"/>
  <c r="AA883" i="1"/>
  <c r="Z883" i="1"/>
  <c r="W883" i="1"/>
  <c r="V883" i="1"/>
  <c r="AC882" i="1"/>
  <c r="AB882" i="1"/>
  <c r="AA882" i="1"/>
  <c r="Z882" i="1"/>
  <c r="V882" i="1"/>
  <c r="AC881" i="1"/>
  <c r="AB881" i="1"/>
  <c r="AA881" i="1"/>
  <c r="Z881" i="1"/>
  <c r="W881" i="1"/>
  <c r="X881" i="1" s="1"/>
  <c r="V881" i="1"/>
  <c r="AD881" i="1" s="1"/>
  <c r="AC880" i="1"/>
  <c r="AB880" i="1"/>
  <c r="AA880" i="1"/>
  <c r="Z880" i="1"/>
  <c r="X880" i="1"/>
  <c r="V880" i="1"/>
  <c r="W880" i="1" s="1"/>
  <c r="AC879" i="1"/>
  <c r="AB879" i="1"/>
  <c r="AA879" i="1"/>
  <c r="Z879" i="1"/>
  <c r="Y879" i="1"/>
  <c r="W879" i="1"/>
  <c r="X879" i="1" s="1"/>
  <c r="V879" i="1"/>
  <c r="AD879" i="1" s="1"/>
  <c r="AC878" i="1"/>
  <c r="AB878" i="1"/>
  <c r="AA878" i="1"/>
  <c r="Z878" i="1"/>
  <c r="V878" i="1"/>
  <c r="W878" i="1" s="1"/>
  <c r="AC877" i="1"/>
  <c r="AB877" i="1"/>
  <c r="AA877" i="1"/>
  <c r="Z877" i="1"/>
  <c r="W877" i="1"/>
  <c r="X877" i="1" s="1"/>
  <c r="Y877" i="1" s="1"/>
  <c r="V877" i="1"/>
  <c r="AD876" i="1"/>
  <c r="AC876" i="1"/>
  <c r="AB876" i="1"/>
  <c r="AA876" i="1"/>
  <c r="Z876" i="1"/>
  <c r="V876" i="1"/>
  <c r="W876" i="1" s="1"/>
  <c r="AC875" i="1"/>
  <c r="AB875" i="1"/>
  <c r="AA875" i="1"/>
  <c r="Z875" i="1"/>
  <c r="W875" i="1"/>
  <c r="V875" i="1"/>
  <c r="AD874" i="1"/>
  <c r="AC874" i="1"/>
  <c r="AB874" i="1"/>
  <c r="AA874" i="1"/>
  <c r="Z874" i="1"/>
  <c r="V874" i="1"/>
  <c r="W874" i="1" s="1"/>
  <c r="AC873" i="1"/>
  <c r="AB873" i="1"/>
  <c r="AA873" i="1"/>
  <c r="Z873" i="1"/>
  <c r="W873" i="1"/>
  <c r="V873" i="1"/>
  <c r="AD873" i="1" s="1"/>
  <c r="AC872" i="1"/>
  <c r="AB872" i="1"/>
  <c r="AA872" i="1"/>
  <c r="Z872" i="1"/>
  <c r="X872" i="1"/>
  <c r="V872" i="1"/>
  <c r="W872" i="1" s="1"/>
  <c r="AC871" i="1"/>
  <c r="AB871" i="1"/>
  <c r="AA871" i="1"/>
  <c r="Z871" i="1"/>
  <c r="Y871" i="1"/>
  <c r="W871" i="1"/>
  <c r="X871" i="1" s="1"/>
  <c r="V871" i="1"/>
  <c r="AD871" i="1" s="1"/>
  <c r="AC870" i="1"/>
  <c r="AB870" i="1"/>
  <c r="AA870" i="1"/>
  <c r="Z870" i="1"/>
  <c r="V870" i="1"/>
  <c r="W870" i="1" s="1"/>
  <c r="AC869" i="1"/>
  <c r="AB869" i="1"/>
  <c r="AA869" i="1"/>
  <c r="Z869" i="1"/>
  <c r="W869" i="1"/>
  <c r="X869" i="1" s="1"/>
  <c r="Y869" i="1" s="1"/>
  <c r="V869" i="1"/>
  <c r="AD868" i="1"/>
  <c r="AC868" i="1"/>
  <c r="AB868" i="1"/>
  <c r="AA868" i="1"/>
  <c r="Z868" i="1"/>
  <c r="V868" i="1"/>
  <c r="W868" i="1" s="1"/>
  <c r="AC867" i="1"/>
  <c r="AB867" i="1"/>
  <c r="AA867" i="1"/>
  <c r="Z867" i="1"/>
  <c r="W867" i="1"/>
  <c r="V867" i="1"/>
  <c r="AC866" i="1"/>
  <c r="AB866" i="1"/>
  <c r="AA866" i="1"/>
  <c r="Z866" i="1"/>
  <c r="V866" i="1"/>
  <c r="W866" i="1" s="1"/>
  <c r="AC865" i="1"/>
  <c r="AB865" i="1"/>
  <c r="AA865" i="1"/>
  <c r="Z865" i="1"/>
  <c r="W865" i="1"/>
  <c r="X865" i="1" s="1"/>
  <c r="V865" i="1"/>
  <c r="AD865" i="1" s="1"/>
  <c r="AC864" i="1"/>
  <c r="AB864" i="1"/>
  <c r="AA864" i="1"/>
  <c r="Z864" i="1"/>
  <c r="X864" i="1"/>
  <c r="V864" i="1"/>
  <c r="W864" i="1" s="1"/>
  <c r="AC863" i="1"/>
  <c r="AB863" i="1"/>
  <c r="AA863" i="1"/>
  <c r="Z863" i="1"/>
  <c r="Y863" i="1"/>
  <c r="W863" i="1"/>
  <c r="X863" i="1" s="1"/>
  <c r="V863" i="1"/>
  <c r="AD863" i="1" s="1"/>
  <c r="AC862" i="1"/>
  <c r="AB862" i="1"/>
  <c r="AA862" i="1"/>
  <c r="Z862" i="1"/>
  <c r="V862" i="1"/>
  <c r="W862" i="1" s="1"/>
  <c r="AC861" i="1"/>
  <c r="AB861" i="1"/>
  <c r="AA861" i="1"/>
  <c r="Z861" i="1"/>
  <c r="W861" i="1"/>
  <c r="X861" i="1" s="1"/>
  <c r="Y861" i="1" s="1"/>
  <c r="V861" i="1"/>
  <c r="AD860" i="1"/>
  <c r="AC860" i="1"/>
  <c r="AB860" i="1"/>
  <c r="AA860" i="1"/>
  <c r="Z860" i="1"/>
  <c r="V860" i="1"/>
  <c r="W860" i="1" s="1"/>
  <c r="AC859" i="1"/>
  <c r="AB859" i="1"/>
  <c r="AA859" i="1"/>
  <c r="Z859" i="1"/>
  <c r="W859" i="1"/>
  <c r="V859" i="1"/>
  <c r="AD858" i="1"/>
  <c r="AC858" i="1"/>
  <c r="AB858" i="1"/>
  <c r="AA858" i="1"/>
  <c r="Z858" i="1"/>
  <c r="V858" i="1"/>
  <c r="W858" i="1" s="1"/>
  <c r="X858" i="1" s="1"/>
  <c r="AC857" i="1"/>
  <c r="AB857" i="1"/>
  <c r="AA857" i="1"/>
  <c r="Z857" i="1"/>
  <c r="W857" i="1"/>
  <c r="X857" i="1" s="1"/>
  <c r="V857" i="1"/>
  <c r="AD857" i="1" s="1"/>
  <c r="AC856" i="1"/>
  <c r="AB856" i="1"/>
  <c r="AA856" i="1"/>
  <c r="Z856" i="1"/>
  <c r="X856" i="1"/>
  <c r="V856" i="1"/>
  <c r="W856" i="1" s="1"/>
  <c r="AC855" i="1"/>
  <c r="AB855" i="1"/>
  <c r="AA855" i="1"/>
  <c r="Z855" i="1"/>
  <c r="Y855" i="1"/>
  <c r="W855" i="1"/>
  <c r="X855" i="1" s="1"/>
  <c r="V855" i="1"/>
  <c r="AD855" i="1" s="1"/>
  <c r="AC854" i="1"/>
  <c r="AB854" i="1"/>
  <c r="AA854" i="1"/>
  <c r="Z854" i="1"/>
  <c r="V854" i="1"/>
  <c r="W854" i="1" s="1"/>
  <c r="AC853" i="1"/>
  <c r="AB853" i="1"/>
  <c r="AA853" i="1"/>
  <c r="Z853" i="1"/>
  <c r="W853" i="1"/>
  <c r="X853" i="1" s="1"/>
  <c r="Y853" i="1" s="1"/>
  <c r="V853" i="1"/>
  <c r="AD852" i="1"/>
  <c r="AC852" i="1"/>
  <c r="AB852" i="1"/>
  <c r="AA852" i="1"/>
  <c r="Z852" i="1"/>
  <c r="V852" i="1"/>
  <c r="W852" i="1" s="1"/>
  <c r="AC851" i="1"/>
  <c r="AB851" i="1"/>
  <c r="AA851" i="1"/>
  <c r="Z851" i="1"/>
  <c r="W851" i="1"/>
  <c r="V851" i="1"/>
  <c r="AC850" i="1"/>
  <c r="AB850" i="1"/>
  <c r="AA850" i="1"/>
  <c r="Z850" i="1"/>
  <c r="V850" i="1"/>
  <c r="AC849" i="1"/>
  <c r="AB849" i="1"/>
  <c r="AA849" i="1"/>
  <c r="Z849" i="1"/>
  <c r="W849" i="1"/>
  <c r="X849" i="1" s="1"/>
  <c r="V849" i="1"/>
  <c r="AD849" i="1" s="1"/>
  <c r="AC848" i="1"/>
  <c r="AB848" i="1"/>
  <c r="AA848" i="1"/>
  <c r="Z848" i="1"/>
  <c r="X848" i="1"/>
  <c r="V848" i="1"/>
  <c r="W848" i="1" s="1"/>
  <c r="AC847" i="1"/>
  <c r="AB847" i="1"/>
  <c r="AA847" i="1"/>
  <c r="Z847" i="1"/>
  <c r="Y847" i="1"/>
  <c r="W847" i="1"/>
  <c r="X847" i="1" s="1"/>
  <c r="V847" i="1"/>
  <c r="AD847" i="1" s="1"/>
  <c r="AC846" i="1"/>
  <c r="AB846" i="1"/>
  <c r="AA846" i="1"/>
  <c r="Z846" i="1"/>
  <c r="V846" i="1"/>
  <c r="W846" i="1" s="1"/>
  <c r="AC845" i="1"/>
  <c r="AB845" i="1"/>
  <c r="AA845" i="1"/>
  <c r="Z845" i="1"/>
  <c r="W845" i="1"/>
  <c r="X845" i="1" s="1"/>
  <c r="Y845" i="1" s="1"/>
  <c r="V845" i="1"/>
  <c r="AD844" i="1"/>
  <c r="AC844" i="1"/>
  <c r="AB844" i="1"/>
  <c r="AA844" i="1"/>
  <c r="Z844" i="1"/>
  <c r="V844" i="1"/>
  <c r="W844" i="1" s="1"/>
  <c r="AC843" i="1"/>
  <c r="AB843" i="1"/>
  <c r="AA843" i="1"/>
  <c r="Z843" i="1"/>
  <c r="W843" i="1"/>
  <c r="V843" i="1"/>
  <c r="AD842" i="1"/>
  <c r="AC842" i="1"/>
  <c r="AB842" i="1"/>
  <c r="AA842" i="1"/>
  <c r="Z842" i="1"/>
  <c r="V842" i="1"/>
  <c r="W842" i="1" s="1"/>
  <c r="AC841" i="1"/>
  <c r="AB841" i="1"/>
  <c r="AA841" i="1"/>
  <c r="Z841" i="1"/>
  <c r="W841" i="1"/>
  <c r="V841" i="1"/>
  <c r="AD841" i="1" s="1"/>
  <c r="AC840" i="1"/>
  <c r="AB840" i="1"/>
  <c r="AA840" i="1"/>
  <c r="Z840" i="1"/>
  <c r="X840" i="1"/>
  <c r="V840" i="1"/>
  <c r="W840" i="1" s="1"/>
  <c r="AC839" i="1"/>
  <c r="AB839" i="1"/>
  <c r="AA839" i="1"/>
  <c r="Z839" i="1"/>
  <c r="Y839" i="1"/>
  <c r="W839" i="1"/>
  <c r="X839" i="1" s="1"/>
  <c r="V839" i="1"/>
  <c r="AD839" i="1" s="1"/>
  <c r="AC838" i="1"/>
  <c r="AB838" i="1"/>
  <c r="AA838" i="1"/>
  <c r="Z838" i="1"/>
  <c r="V838" i="1"/>
  <c r="W838" i="1" s="1"/>
  <c r="AC837" i="1"/>
  <c r="AB837" i="1"/>
  <c r="AA837" i="1"/>
  <c r="Z837" i="1"/>
  <c r="W837" i="1"/>
  <c r="X837" i="1" s="1"/>
  <c r="Y837" i="1" s="1"/>
  <c r="V837" i="1"/>
  <c r="AD836" i="1"/>
  <c r="AC836" i="1"/>
  <c r="AB836" i="1"/>
  <c r="AA836" i="1"/>
  <c r="Z836" i="1"/>
  <c r="V836" i="1"/>
  <c r="W836" i="1" s="1"/>
  <c r="AC835" i="1"/>
  <c r="AB835" i="1"/>
  <c r="AA835" i="1"/>
  <c r="Z835" i="1"/>
  <c r="W835" i="1"/>
  <c r="V835" i="1"/>
  <c r="AC834" i="1"/>
  <c r="AB834" i="1"/>
  <c r="AA834" i="1"/>
  <c r="Z834" i="1"/>
  <c r="V834" i="1"/>
  <c r="W834" i="1" s="1"/>
  <c r="AC833" i="1"/>
  <c r="AB833" i="1"/>
  <c r="AA833" i="1"/>
  <c r="Z833" i="1"/>
  <c r="W833" i="1"/>
  <c r="X833" i="1" s="1"/>
  <c r="V833" i="1"/>
  <c r="AD833" i="1" s="1"/>
  <c r="AC832" i="1"/>
  <c r="AB832" i="1"/>
  <c r="AA832" i="1"/>
  <c r="Z832" i="1"/>
  <c r="X832" i="1"/>
  <c r="V832" i="1"/>
  <c r="W832" i="1" s="1"/>
  <c r="AC831" i="1"/>
  <c r="AB831" i="1"/>
  <c r="AA831" i="1"/>
  <c r="Z831" i="1"/>
  <c r="Y831" i="1"/>
  <c r="W831" i="1"/>
  <c r="X831" i="1" s="1"/>
  <c r="V831" i="1"/>
  <c r="AD831" i="1" s="1"/>
  <c r="AC830" i="1"/>
  <c r="AB830" i="1"/>
  <c r="AA830" i="1"/>
  <c r="Z830" i="1"/>
  <c r="V830" i="1"/>
  <c r="W830" i="1" s="1"/>
  <c r="AC829" i="1"/>
  <c r="AB829" i="1"/>
  <c r="AA829" i="1"/>
  <c r="Z829" i="1"/>
  <c r="W829" i="1"/>
  <c r="X829" i="1" s="1"/>
  <c r="Y829" i="1" s="1"/>
  <c r="V829" i="1"/>
  <c r="AD828" i="1"/>
  <c r="AC828" i="1"/>
  <c r="AB828" i="1"/>
  <c r="AA828" i="1"/>
  <c r="Z828" i="1"/>
  <c r="V828" i="1"/>
  <c r="W828" i="1" s="1"/>
  <c r="AC827" i="1"/>
  <c r="AB827" i="1"/>
  <c r="AA827" i="1"/>
  <c r="Z827" i="1"/>
  <c r="W827" i="1"/>
  <c r="V827" i="1"/>
  <c r="AD826" i="1"/>
  <c r="AC826" i="1"/>
  <c r="AB826" i="1"/>
  <c r="AA826" i="1"/>
  <c r="Z826" i="1"/>
  <c r="V826" i="1"/>
  <c r="W826" i="1" s="1"/>
  <c r="X826" i="1" s="1"/>
  <c r="AC825" i="1"/>
  <c r="AB825" i="1"/>
  <c r="AA825" i="1"/>
  <c r="Z825" i="1"/>
  <c r="W825" i="1"/>
  <c r="X825" i="1" s="1"/>
  <c r="V825" i="1"/>
  <c r="AD825" i="1" s="1"/>
  <c r="AC824" i="1"/>
  <c r="AB824" i="1"/>
  <c r="AA824" i="1"/>
  <c r="Z824" i="1"/>
  <c r="X824" i="1"/>
  <c r="V824" i="1"/>
  <c r="W824" i="1" s="1"/>
  <c r="AC823" i="1"/>
  <c r="AB823" i="1"/>
  <c r="AA823" i="1"/>
  <c r="Z823" i="1"/>
  <c r="Y823" i="1"/>
  <c r="W823" i="1"/>
  <c r="X823" i="1" s="1"/>
  <c r="V823" i="1"/>
  <c r="AD823" i="1" s="1"/>
  <c r="AC822" i="1"/>
  <c r="AB822" i="1"/>
  <c r="AA822" i="1"/>
  <c r="Z822" i="1"/>
  <c r="V822" i="1"/>
  <c r="W822" i="1" s="1"/>
  <c r="AC821" i="1"/>
  <c r="AB821" i="1"/>
  <c r="AA821" i="1"/>
  <c r="Z821" i="1"/>
  <c r="W821" i="1"/>
  <c r="X821" i="1" s="1"/>
  <c r="Y821" i="1" s="1"/>
  <c r="V821" i="1"/>
  <c r="AD820" i="1"/>
  <c r="AC820" i="1"/>
  <c r="AB820" i="1"/>
  <c r="AA820" i="1"/>
  <c r="Z820" i="1"/>
  <c r="V820" i="1"/>
  <c r="W820" i="1" s="1"/>
  <c r="AC819" i="1"/>
  <c r="AB819" i="1"/>
  <c r="AA819" i="1"/>
  <c r="Z819" i="1"/>
  <c r="W819" i="1"/>
  <c r="V819" i="1"/>
  <c r="AC818" i="1"/>
  <c r="AB818" i="1"/>
  <c r="AA818" i="1"/>
  <c r="Z818" i="1"/>
  <c r="V818" i="1"/>
  <c r="AC817" i="1"/>
  <c r="AB817" i="1"/>
  <c r="AA817" i="1"/>
  <c r="Z817" i="1"/>
  <c r="W817" i="1"/>
  <c r="X817" i="1" s="1"/>
  <c r="V817" i="1"/>
  <c r="AD817" i="1" s="1"/>
  <c r="AC816" i="1"/>
  <c r="AB816" i="1"/>
  <c r="AA816" i="1"/>
  <c r="Z816" i="1"/>
  <c r="X816" i="1"/>
  <c r="V816" i="1"/>
  <c r="W816" i="1" s="1"/>
  <c r="AC815" i="1"/>
  <c r="AB815" i="1"/>
  <c r="AA815" i="1"/>
  <c r="Z815" i="1"/>
  <c r="Y815" i="1"/>
  <c r="W815" i="1"/>
  <c r="X815" i="1" s="1"/>
  <c r="V815" i="1"/>
  <c r="AD815" i="1" s="1"/>
  <c r="AC814" i="1"/>
  <c r="AB814" i="1"/>
  <c r="AA814" i="1"/>
  <c r="Z814" i="1"/>
  <c r="V814" i="1"/>
  <c r="W814" i="1" s="1"/>
  <c r="AC813" i="1"/>
  <c r="AB813" i="1"/>
  <c r="AA813" i="1"/>
  <c r="Z813" i="1"/>
  <c r="W813" i="1"/>
  <c r="X813" i="1" s="1"/>
  <c r="Y813" i="1" s="1"/>
  <c r="V813" i="1"/>
  <c r="AD812" i="1"/>
  <c r="AC812" i="1"/>
  <c r="AB812" i="1"/>
  <c r="AA812" i="1"/>
  <c r="Z812" i="1"/>
  <c r="V812" i="1"/>
  <c r="W812" i="1" s="1"/>
  <c r="AC811" i="1"/>
  <c r="AB811" i="1"/>
  <c r="AA811" i="1"/>
  <c r="Z811" i="1"/>
  <c r="W811" i="1"/>
  <c r="V811" i="1"/>
  <c r="AD810" i="1"/>
  <c r="AC810" i="1"/>
  <c r="AB810" i="1"/>
  <c r="AA810" i="1"/>
  <c r="Z810" i="1"/>
  <c r="V810" i="1"/>
  <c r="W810" i="1" s="1"/>
  <c r="AC809" i="1"/>
  <c r="AB809" i="1"/>
  <c r="AA809" i="1"/>
  <c r="Z809" i="1"/>
  <c r="W809" i="1"/>
  <c r="V809" i="1"/>
  <c r="AD809" i="1" s="1"/>
  <c r="AC808" i="1"/>
  <c r="AB808" i="1"/>
  <c r="AA808" i="1"/>
  <c r="Z808" i="1"/>
  <c r="X808" i="1"/>
  <c r="V808" i="1"/>
  <c r="W808" i="1" s="1"/>
  <c r="AC807" i="1"/>
  <c r="AB807" i="1"/>
  <c r="AA807" i="1"/>
  <c r="Z807" i="1"/>
  <c r="Y807" i="1"/>
  <c r="W807" i="1"/>
  <c r="X807" i="1" s="1"/>
  <c r="V807" i="1"/>
  <c r="AD807" i="1" s="1"/>
  <c r="AC806" i="1"/>
  <c r="AB806" i="1"/>
  <c r="AA806" i="1"/>
  <c r="Z806" i="1"/>
  <c r="V806" i="1"/>
  <c r="W806" i="1" s="1"/>
  <c r="AC805" i="1"/>
  <c r="AB805" i="1"/>
  <c r="AA805" i="1"/>
  <c r="Z805" i="1"/>
  <c r="W805" i="1"/>
  <c r="X805" i="1" s="1"/>
  <c r="Y805" i="1" s="1"/>
  <c r="V805" i="1"/>
  <c r="AD804" i="1"/>
  <c r="AC804" i="1"/>
  <c r="AB804" i="1"/>
  <c r="AA804" i="1"/>
  <c r="Z804" i="1"/>
  <c r="V804" i="1"/>
  <c r="W804" i="1" s="1"/>
  <c r="AC803" i="1"/>
  <c r="AB803" i="1"/>
  <c r="AA803" i="1"/>
  <c r="Z803" i="1"/>
  <c r="W803" i="1"/>
  <c r="V803" i="1"/>
  <c r="AC802" i="1"/>
  <c r="AB802" i="1"/>
  <c r="AA802" i="1"/>
  <c r="Z802" i="1"/>
  <c r="V802" i="1"/>
  <c r="W802" i="1" s="1"/>
  <c r="AC801" i="1"/>
  <c r="AB801" i="1"/>
  <c r="AA801" i="1"/>
  <c r="Z801" i="1"/>
  <c r="W801" i="1"/>
  <c r="X801" i="1" s="1"/>
  <c r="V801" i="1"/>
  <c r="AD801" i="1" s="1"/>
  <c r="AC800" i="1"/>
  <c r="AB800" i="1"/>
  <c r="AA800" i="1"/>
  <c r="Z800" i="1"/>
  <c r="X800" i="1"/>
  <c r="V800" i="1"/>
  <c r="W800" i="1" s="1"/>
  <c r="AC799" i="1"/>
  <c r="AB799" i="1"/>
  <c r="AA799" i="1"/>
  <c r="Z799" i="1"/>
  <c r="Y799" i="1"/>
  <c r="W799" i="1"/>
  <c r="X799" i="1" s="1"/>
  <c r="V799" i="1"/>
  <c r="AD799" i="1" s="1"/>
  <c r="AC798" i="1"/>
  <c r="AB798" i="1"/>
  <c r="AA798" i="1"/>
  <c r="Z798" i="1"/>
  <c r="V798" i="1"/>
  <c r="W798" i="1" s="1"/>
  <c r="AC797" i="1"/>
  <c r="AB797" i="1"/>
  <c r="AA797" i="1"/>
  <c r="Z797" i="1"/>
  <c r="Y797" i="1"/>
  <c r="W797" i="1"/>
  <c r="X797" i="1" s="1"/>
  <c r="V797" i="1"/>
  <c r="AD797" i="1" s="1"/>
  <c r="AC796" i="1"/>
  <c r="AB796" i="1"/>
  <c r="AA796" i="1"/>
  <c r="Z796" i="1"/>
  <c r="V796" i="1"/>
  <c r="W796" i="1" s="1"/>
  <c r="AC795" i="1"/>
  <c r="AB795" i="1"/>
  <c r="AA795" i="1"/>
  <c r="Z795" i="1"/>
  <c r="W795" i="1"/>
  <c r="V795" i="1"/>
  <c r="AD795" i="1" s="1"/>
  <c r="AC794" i="1"/>
  <c r="AB794" i="1"/>
  <c r="AA794" i="1"/>
  <c r="Z794" i="1"/>
  <c r="X794" i="1"/>
  <c r="V794" i="1"/>
  <c r="W794" i="1" s="1"/>
  <c r="AC793" i="1"/>
  <c r="AB793" i="1"/>
  <c r="AA793" i="1"/>
  <c r="Z793" i="1"/>
  <c r="Y793" i="1"/>
  <c r="W793" i="1"/>
  <c r="X793" i="1" s="1"/>
  <c r="V793" i="1"/>
  <c r="AC792" i="1"/>
  <c r="AB792" i="1"/>
  <c r="AA792" i="1"/>
  <c r="Z792" i="1"/>
  <c r="X792" i="1"/>
  <c r="V792" i="1"/>
  <c r="W792" i="1" s="1"/>
  <c r="AC791" i="1"/>
  <c r="AB791" i="1"/>
  <c r="AA791" i="1"/>
  <c r="Z791" i="1"/>
  <c r="W791" i="1"/>
  <c r="X791" i="1" s="1"/>
  <c r="V791" i="1"/>
  <c r="AD791" i="1" s="1"/>
  <c r="AC790" i="1"/>
  <c r="AB790" i="1"/>
  <c r="AA790" i="1"/>
  <c r="Z790" i="1"/>
  <c r="V790" i="1"/>
  <c r="W790" i="1" s="1"/>
  <c r="AC789" i="1"/>
  <c r="AB789" i="1"/>
  <c r="AA789" i="1"/>
  <c r="Z789" i="1"/>
  <c r="Y789" i="1"/>
  <c r="W789" i="1"/>
  <c r="X789" i="1" s="1"/>
  <c r="V789" i="1"/>
  <c r="AD788" i="1"/>
  <c r="AC788" i="1"/>
  <c r="AB788" i="1"/>
  <c r="AA788" i="1"/>
  <c r="Z788" i="1"/>
  <c r="X788" i="1"/>
  <c r="V788" i="1"/>
  <c r="W788" i="1" s="1"/>
  <c r="AC787" i="1"/>
  <c r="AB787" i="1"/>
  <c r="AA787" i="1"/>
  <c r="Z787" i="1"/>
  <c r="Y787" i="1"/>
  <c r="W787" i="1"/>
  <c r="X787" i="1" s="1"/>
  <c r="V787" i="1"/>
  <c r="AD787" i="1" s="1"/>
  <c r="AC786" i="1"/>
  <c r="AB786" i="1"/>
  <c r="AA786" i="1"/>
  <c r="Z786" i="1"/>
  <c r="X786" i="1"/>
  <c r="V786" i="1"/>
  <c r="W786" i="1" s="1"/>
  <c r="AC785" i="1"/>
  <c r="AB785" i="1"/>
  <c r="AA785" i="1"/>
  <c r="Z785" i="1"/>
  <c r="Y785" i="1"/>
  <c r="W785" i="1"/>
  <c r="X785" i="1" s="1"/>
  <c r="V785" i="1"/>
  <c r="AC784" i="1"/>
  <c r="AB784" i="1"/>
  <c r="AA784" i="1"/>
  <c r="Z784" i="1"/>
  <c r="X784" i="1"/>
  <c r="V784" i="1"/>
  <c r="W784" i="1" s="1"/>
  <c r="AC783" i="1"/>
  <c r="AB783" i="1"/>
  <c r="AA783" i="1"/>
  <c r="Z783" i="1"/>
  <c r="W783" i="1"/>
  <c r="X783" i="1" s="1"/>
  <c r="V783" i="1"/>
  <c r="AD783" i="1" s="1"/>
  <c r="AC782" i="1"/>
  <c r="AB782" i="1"/>
  <c r="AA782" i="1"/>
  <c r="Z782" i="1"/>
  <c r="V782" i="1"/>
  <c r="W782" i="1" s="1"/>
  <c r="AC781" i="1"/>
  <c r="AB781" i="1"/>
  <c r="AA781" i="1"/>
  <c r="Z781" i="1"/>
  <c r="Y781" i="1"/>
  <c r="W781" i="1"/>
  <c r="X781" i="1" s="1"/>
  <c r="V781" i="1"/>
  <c r="AD780" i="1"/>
  <c r="AC780" i="1"/>
  <c r="AB780" i="1"/>
  <c r="AA780" i="1"/>
  <c r="Z780" i="1"/>
  <c r="X780" i="1"/>
  <c r="V780" i="1"/>
  <c r="W780" i="1" s="1"/>
  <c r="AC779" i="1"/>
  <c r="AB779" i="1"/>
  <c r="AA779" i="1"/>
  <c r="Z779" i="1"/>
  <c r="Y779" i="1"/>
  <c r="W779" i="1"/>
  <c r="X779" i="1" s="1"/>
  <c r="V779" i="1"/>
  <c r="AD779" i="1" s="1"/>
  <c r="AC778" i="1"/>
  <c r="AB778" i="1"/>
  <c r="AA778" i="1"/>
  <c r="Z778" i="1"/>
  <c r="X778" i="1"/>
  <c r="V778" i="1"/>
  <c r="W778" i="1" s="1"/>
  <c r="AC777" i="1"/>
  <c r="AB777" i="1"/>
  <c r="AA777" i="1"/>
  <c r="Z777" i="1"/>
  <c r="Y777" i="1"/>
  <c r="W777" i="1"/>
  <c r="X777" i="1" s="1"/>
  <c r="V777" i="1"/>
  <c r="AC776" i="1"/>
  <c r="AB776" i="1"/>
  <c r="AA776" i="1"/>
  <c r="Z776" i="1"/>
  <c r="X776" i="1"/>
  <c r="V776" i="1"/>
  <c r="W776" i="1" s="1"/>
  <c r="AD775" i="1"/>
  <c r="AC775" i="1"/>
  <c r="AB775" i="1"/>
  <c r="AA775" i="1"/>
  <c r="Z775" i="1"/>
  <c r="Y775" i="1"/>
  <c r="W775" i="1"/>
  <c r="X775" i="1" s="1"/>
  <c r="V775" i="1"/>
  <c r="AD774" i="1"/>
  <c r="AC774" i="1"/>
  <c r="AB774" i="1"/>
  <c r="AA774" i="1"/>
  <c r="Z774" i="1"/>
  <c r="X774" i="1"/>
  <c r="W774" i="1"/>
  <c r="V774" i="1"/>
  <c r="AC773" i="1"/>
  <c r="AB773" i="1"/>
  <c r="AA773" i="1"/>
  <c r="Z773" i="1"/>
  <c r="V773" i="1"/>
  <c r="AD773" i="1" s="1"/>
  <c r="AC772" i="1"/>
  <c r="AB772" i="1"/>
  <c r="AA772" i="1"/>
  <c r="Z772" i="1"/>
  <c r="W772" i="1"/>
  <c r="X772" i="1" s="1"/>
  <c r="Y772" i="1" s="1"/>
  <c r="V772" i="1"/>
  <c r="AD772" i="1" s="1"/>
  <c r="AC771" i="1"/>
  <c r="AB771" i="1"/>
  <c r="AA771" i="1"/>
  <c r="Z771" i="1"/>
  <c r="W771" i="1"/>
  <c r="X771" i="1" s="1"/>
  <c r="Y771" i="1" s="1"/>
  <c r="V771" i="1"/>
  <c r="AD770" i="1"/>
  <c r="AC770" i="1"/>
  <c r="AB770" i="1"/>
  <c r="AA770" i="1"/>
  <c r="Z770" i="1"/>
  <c r="X770" i="1"/>
  <c r="V770" i="1"/>
  <c r="W770" i="1" s="1"/>
  <c r="Y770" i="1" s="1"/>
  <c r="AC769" i="1"/>
  <c r="AB769" i="1"/>
  <c r="AA769" i="1"/>
  <c r="Z769" i="1"/>
  <c r="Y769" i="1"/>
  <c r="W769" i="1"/>
  <c r="X769" i="1" s="1"/>
  <c r="V769" i="1"/>
  <c r="AC768" i="1"/>
  <c r="AD768" i="1" s="1"/>
  <c r="AB768" i="1"/>
  <c r="AA768" i="1"/>
  <c r="Z768" i="1"/>
  <c r="X768" i="1"/>
  <c r="V768" i="1"/>
  <c r="W768" i="1" s="1"/>
  <c r="AD767" i="1"/>
  <c r="AC767" i="1"/>
  <c r="AB767" i="1"/>
  <c r="AA767" i="1"/>
  <c r="Z767" i="1"/>
  <c r="Y767" i="1"/>
  <c r="W767" i="1"/>
  <c r="X767" i="1" s="1"/>
  <c r="V767" i="1"/>
  <c r="AD766" i="1"/>
  <c r="AC766" i="1"/>
  <c r="AB766" i="1"/>
  <c r="AA766" i="1"/>
  <c r="Z766" i="1"/>
  <c r="X766" i="1"/>
  <c r="W766" i="1"/>
  <c r="V766" i="1"/>
  <c r="AC765" i="1"/>
  <c r="AB765" i="1"/>
  <c r="AA765" i="1"/>
  <c r="Z765" i="1"/>
  <c r="V765" i="1"/>
  <c r="AD765" i="1" s="1"/>
  <c r="AC764" i="1"/>
  <c r="AB764" i="1"/>
  <c r="AA764" i="1"/>
  <c r="Z764" i="1"/>
  <c r="W764" i="1"/>
  <c r="X764" i="1" s="1"/>
  <c r="Y764" i="1" s="1"/>
  <c r="V764" i="1"/>
  <c r="AD764" i="1" s="1"/>
  <c r="AC763" i="1"/>
  <c r="AB763" i="1"/>
  <c r="AA763" i="1"/>
  <c r="Z763" i="1"/>
  <c r="W763" i="1"/>
  <c r="X763" i="1" s="1"/>
  <c r="Y763" i="1" s="1"/>
  <c r="V763" i="1"/>
  <c r="AD762" i="1"/>
  <c r="AC762" i="1"/>
  <c r="AB762" i="1"/>
  <c r="AA762" i="1"/>
  <c r="Z762" i="1"/>
  <c r="X762" i="1"/>
  <c r="V762" i="1"/>
  <c r="W762" i="1" s="1"/>
  <c r="Y762" i="1" s="1"/>
  <c r="AD761" i="1"/>
  <c r="AC761" i="1"/>
  <c r="AB761" i="1"/>
  <c r="AA761" i="1"/>
  <c r="Z761" i="1"/>
  <c r="W761" i="1"/>
  <c r="X761" i="1" s="1"/>
  <c r="V761" i="1"/>
  <c r="AD760" i="1"/>
  <c r="AC760" i="1"/>
  <c r="AB760" i="1"/>
  <c r="AA760" i="1"/>
  <c r="Z760" i="1"/>
  <c r="W760" i="1"/>
  <c r="X760" i="1" s="1"/>
  <c r="V760" i="1"/>
  <c r="AC759" i="1"/>
  <c r="AB759" i="1"/>
  <c r="AA759" i="1"/>
  <c r="Z759" i="1"/>
  <c r="V759" i="1"/>
  <c r="W759" i="1" s="1"/>
  <c r="AC758" i="1"/>
  <c r="AB758" i="1"/>
  <c r="AA758" i="1"/>
  <c r="Z758" i="1"/>
  <c r="W758" i="1"/>
  <c r="V758" i="1"/>
  <c r="AD758" i="1" s="1"/>
  <c r="AC757" i="1"/>
  <c r="AB757" i="1"/>
  <c r="AA757" i="1"/>
  <c r="Z757" i="1"/>
  <c r="V757" i="1"/>
  <c r="W757" i="1" s="1"/>
  <c r="AC756" i="1"/>
  <c r="AB756" i="1"/>
  <c r="AA756" i="1"/>
  <c r="Z756" i="1"/>
  <c r="V756" i="1"/>
  <c r="W756" i="1" s="1"/>
  <c r="X756" i="1" s="1"/>
  <c r="AC755" i="1"/>
  <c r="AB755" i="1"/>
  <c r="AA755" i="1"/>
  <c r="Z755" i="1"/>
  <c r="W755" i="1"/>
  <c r="X755" i="1" s="1"/>
  <c r="Y755" i="1" s="1"/>
  <c r="V755" i="1"/>
  <c r="AD755" i="1" s="1"/>
  <c r="AC754" i="1"/>
  <c r="AB754" i="1"/>
  <c r="AA754" i="1"/>
  <c r="Z754" i="1"/>
  <c r="V754" i="1"/>
  <c r="W754" i="1" s="1"/>
  <c r="AC753" i="1"/>
  <c r="AB753" i="1"/>
  <c r="AA753" i="1"/>
  <c r="Z753" i="1"/>
  <c r="V753" i="1"/>
  <c r="W753" i="1" s="1"/>
  <c r="AC752" i="1"/>
  <c r="AB752" i="1"/>
  <c r="AA752" i="1"/>
  <c r="Z752" i="1"/>
  <c r="V752" i="1"/>
  <c r="W752" i="1" s="1"/>
  <c r="AC751" i="1"/>
  <c r="AB751" i="1"/>
  <c r="AA751" i="1"/>
  <c r="Z751" i="1"/>
  <c r="W751" i="1"/>
  <c r="V751" i="1"/>
  <c r="AD751" i="1" s="1"/>
  <c r="AC750" i="1"/>
  <c r="AB750" i="1"/>
  <c r="AA750" i="1"/>
  <c r="Z750" i="1"/>
  <c r="X750" i="1"/>
  <c r="W750" i="1"/>
  <c r="Y750" i="1" s="1"/>
  <c r="V750" i="1"/>
  <c r="AD750" i="1" s="1"/>
  <c r="AC749" i="1"/>
  <c r="AB749" i="1"/>
  <c r="AA749" i="1"/>
  <c r="Z749" i="1"/>
  <c r="V749" i="1"/>
  <c r="AD749" i="1" s="1"/>
  <c r="AC748" i="1"/>
  <c r="AB748" i="1"/>
  <c r="AA748" i="1"/>
  <c r="Z748" i="1"/>
  <c r="W748" i="1"/>
  <c r="X748" i="1" s="1"/>
  <c r="Y748" i="1" s="1"/>
  <c r="V748" i="1"/>
  <c r="AD748" i="1" s="1"/>
  <c r="AC747" i="1"/>
  <c r="AB747" i="1"/>
  <c r="AA747" i="1"/>
  <c r="Z747" i="1"/>
  <c r="W747" i="1"/>
  <c r="X747" i="1" s="1"/>
  <c r="Y747" i="1" s="1"/>
  <c r="V747" i="1"/>
  <c r="AD746" i="1"/>
  <c r="AC746" i="1"/>
  <c r="AB746" i="1"/>
  <c r="AA746" i="1"/>
  <c r="Z746" i="1"/>
  <c r="X746" i="1"/>
  <c r="V746" i="1"/>
  <c r="W746" i="1" s="1"/>
  <c r="Y746" i="1" s="1"/>
  <c r="AD745" i="1"/>
  <c r="AC745" i="1"/>
  <c r="AB745" i="1"/>
  <c r="AA745" i="1"/>
  <c r="Z745" i="1"/>
  <c r="W745" i="1"/>
  <c r="X745" i="1" s="1"/>
  <c r="V745" i="1"/>
  <c r="AC744" i="1"/>
  <c r="AB744" i="1"/>
  <c r="AA744" i="1"/>
  <c r="Z744" i="1"/>
  <c r="V744" i="1"/>
  <c r="AC743" i="1"/>
  <c r="AB743" i="1"/>
  <c r="AA743" i="1"/>
  <c r="Z743" i="1"/>
  <c r="W743" i="1"/>
  <c r="V743" i="1"/>
  <c r="AD743" i="1" s="1"/>
  <c r="AC742" i="1"/>
  <c r="AB742" i="1"/>
  <c r="AA742" i="1"/>
  <c r="Z742" i="1"/>
  <c r="X742" i="1"/>
  <c r="V742" i="1"/>
  <c r="W742" i="1" s="1"/>
  <c r="AC741" i="1"/>
  <c r="AB741" i="1"/>
  <c r="AA741" i="1"/>
  <c r="Z741" i="1"/>
  <c r="Y741" i="1"/>
  <c r="V741" i="1"/>
  <c r="W741" i="1" s="1"/>
  <c r="X741" i="1" s="1"/>
  <c r="AC740" i="1"/>
  <c r="AB740" i="1"/>
  <c r="AA740" i="1"/>
  <c r="Z740" i="1"/>
  <c r="W740" i="1"/>
  <c r="V740" i="1"/>
  <c r="AD740" i="1" s="1"/>
  <c r="AC739" i="1"/>
  <c r="AB739" i="1"/>
  <c r="AA739" i="1"/>
  <c r="Z739" i="1"/>
  <c r="X739" i="1"/>
  <c r="W739" i="1"/>
  <c r="Y739" i="1" s="1"/>
  <c r="V739" i="1"/>
  <c r="AD739" i="1" s="1"/>
  <c r="AC738" i="1"/>
  <c r="AB738" i="1"/>
  <c r="AA738" i="1"/>
  <c r="Z738" i="1"/>
  <c r="V738" i="1"/>
  <c r="AD738" i="1" s="1"/>
  <c r="AC737" i="1"/>
  <c r="AB737" i="1"/>
  <c r="AA737" i="1"/>
  <c r="Z737" i="1"/>
  <c r="W737" i="1"/>
  <c r="X737" i="1" s="1"/>
  <c r="Y737" i="1" s="1"/>
  <c r="V737" i="1"/>
  <c r="AC736" i="1"/>
  <c r="AB736" i="1"/>
  <c r="AA736" i="1"/>
  <c r="Z736" i="1"/>
  <c r="V736" i="1"/>
  <c r="W736" i="1" s="1"/>
  <c r="AC735" i="1"/>
  <c r="AB735" i="1"/>
  <c r="AA735" i="1"/>
  <c r="Z735" i="1"/>
  <c r="W735" i="1"/>
  <c r="V735" i="1"/>
  <c r="AD735" i="1" s="1"/>
  <c r="AC734" i="1"/>
  <c r="AB734" i="1"/>
  <c r="AA734" i="1"/>
  <c r="Z734" i="1"/>
  <c r="V734" i="1"/>
  <c r="W734" i="1" s="1"/>
  <c r="AD733" i="1"/>
  <c r="AC733" i="1"/>
  <c r="AB733" i="1"/>
  <c r="AA733" i="1"/>
  <c r="Z733" i="1"/>
  <c r="Y733" i="1"/>
  <c r="V733" i="1"/>
  <c r="W733" i="1" s="1"/>
  <c r="X733" i="1" s="1"/>
  <c r="AC732" i="1"/>
  <c r="AB732" i="1"/>
  <c r="AA732" i="1"/>
  <c r="Z732" i="1"/>
  <c r="W732" i="1"/>
  <c r="V732" i="1"/>
  <c r="AD732" i="1" s="1"/>
  <c r="AC731" i="1"/>
  <c r="AB731" i="1"/>
  <c r="AA731" i="1"/>
  <c r="Z731" i="1"/>
  <c r="X731" i="1"/>
  <c r="W731" i="1"/>
  <c r="V731" i="1"/>
  <c r="AD731" i="1" s="1"/>
  <c r="AC730" i="1"/>
  <c r="AB730" i="1"/>
  <c r="AA730" i="1"/>
  <c r="Z730" i="1"/>
  <c r="V730" i="1"/>
  <c r="AD730" i="1" s="1"/>
  <c r="AC729" i="1"/>
  <c r="AB729" i="1"/>
  <c r="AA729" i="1"/>
  <c r="Z729" i="1"/>
  <c r="W729" i="1"/>
  <c r="X729" i="1" s="1"/>
  <c r="Y729" i="1" s="1"/>
  <c r="V729" i="1"/>
  <c r="AD729" i="1" s="1"/>
  <c r="AD728" i="1"/>
  <c r="AC728" i="1"/>
  <c r="AB728" i="1"/>
  <c r="AA728" i="1"/>
  <c r="Z728" i="1"/>
  <c r="V728" i="1"/>
  <c r="W728" i="1" s="1"/>
  <c r="AC727" i="1"/>
  <c r="AB727" i="1"/>
  <c r="AA727" i="1"/>
  <c r="Z727" i="1"/>
  <c r="W727" i="1"/>
  <c r="V727" i="1"/>
  <c r="AD727" i="1" s="1"/>
  <c r="AC726" i="1"/>
  <c r="AB726" i="1"/>
  <c r="AA726" i="1"/>
  <c r="Z726" i="1"/>
  <c r="V726" i="1"/>
  <c r="W726" i="1" s="1"/>
  <c r="AC725" i="1"/>
  <c r="AB725" i="1"/>
  <c r="AA725" i="1"/>
  <c r="Z725" i="1"/>
  <c r="V725" i="1"/>
  <c r="AC724" i="1"/>
  <c r="AB724" i="1"/>
  <c r="AA724" i="1"/>
  <c r="Z724" i="1"/>
  <c r="W724" i="1"/>
  <c r="V724" i="1"/>
  <c r="AD724" i="1" s="1"/>
  <c r="AC723" i="1"/>
  <c r="AB723" i="1"/>
  <c r="AA723" i="1"/>
  <c r="Z723" i="1"/>
  <c r="X723" i="1"/>
  <c r="W723" i="1"/>
  <c r="V723" i="1"/>
  <c r="AD723" i="1" s="1"/>
  <c r="AC722" i="1"/>
  <c r="AB722" i="1"/>
  <c r="AA722" i="1"/>
  <c r="Z722" i="1"/>
  <c r="V722" i="1"/>
  <c r="AD722" i="1" s="1"/>
  <c r="AC721" i="1"/>
  <c r="AB721" i="1"/>
  <c r="AA721" i="1"/>
  <c r="Z721" i="1"/>
  <c r="W721" i="1"/>
  <c r="X721" i="1" s="1"/>
  <c r="Y721" i="1" s="1"/>
  <c r="V721" i="1"/>
  <c r="AD721" i="1" s="1"/>
  <c r="AC720" i="1"/>
  <c r="AB720" i="1"/>
  <c r="AA720" i="1"/>
  <c r="Z720" i="1"/>
  <c r="V720" i="1"/>
  <c r="W720" i="1" s="1"/>
  <c r="AD719" i="1"/>
  <c r="AC719" i="1"/>
  <c r="AB719" i="1"/>
  <c r="AA719" i="1"/>
  <c r="Z719" i="1"/>
  <c r="W719" i="1"/>
  <c r="V719" i="1"/>
  <c r="AC718" i="1"/>
  <c r="AB718" i="1"/>
  <c r="AA718" i="1"/>
  <c r="Z718" i="1"/>
  <c r="X718" i="1"/>
  <c r="W718" i="1"/>
  <c r="V718" i="1"/>
  <c r="AC717" i="1"/>
  <c r="AB717" i="1"/>
  <c r="AA717" i="1"/>
  <c r="Z717" i="1"/>
  <c r="Y717" i="1"/>
  <c r="X717" i="1"/>
  <c r="V717" i="1"/>
  <c r="W717" i="1" s="1"/>
  <c r="AC716" i="1"/>
  <c r="AB716" i="1"/>
  <c r="AA716" i="1"/>
  <c r="Z716" i="1"/>
  <c r="W716" i="1"/>
  <c r="X716" i="1" s="1"/>
  <c r="V716" i="1"/>
  <c r="AD716" i="1" s="1"/>
  <c r="AC715" i="1"/>
  <c r="AB715" i="1"/>
  <c r="AA715" i="1"/>
  <c r="Z715" i="1"/>
  <c r="X715" i="1"/>
  <c r="W715" i="1"/>
  <c r="V715" i="1"/>
  <c r="AD715" i="1" s="1"/>
  <c r="AC714" i="1"/>
  <c r="AB714" i="1"/>
  <c r="AA714" i="1"/>
  <c r="Z714" i="1"/>
  <c r="V714" i="1"/>
  <c r="AD714" i="1" s="1"/>
  <c r="AC713" i="1"/>
  <c r="AB713" i="1"/>
  <c r="AA713" i="1"/>
  <c r="Z713" i="1"/>
  <c r="W713" i="1"/>
  <c r="X713" i="1" s="1"/>
  <c r="Y713" i="1" s="1"/>
  <c r="V713" i="1"/>
  <c r="AD713" i="1" s="1"/>
  <c r="AC712" i="1"/>
  <c r="AD712" i="1" s="1"/>
  <c r="AB712" i="1"/>
  <c r="AA712" i="1"/>
  <c r="Z712" i="1"/>
  <c r="V712" i="1"/>
  <c r="W712" i="1" s="1"/>
  <c r="AC711" i="1"/>
  <c r="AB711" i="1"/>
  <c r="AA711" i="1"/>
  <c r="Z711" i="1"/>
  <c r="W711" i="1"/>
  <c r="V711" i="1"/>
  <c r="AD711" i="1" s="1"/>
  <c r="AC710" i="1"/>
  <c r="AB710" i="1"/>
  <c r="AA710" i="1"/>
  <c r="Z710" i="1"/>
  <c r="X710" i="1"/>
  <c r="W710" i="1"/>
  <c r="V710" i="1"/>
  <c r="AD710" i="1" s="1"/>
  <c r="AC709" i="1"/>
  <c r="AB709" i="1"/>
  <c r="AA709" i="1"/>
  <c r="Z709" i="1"/>
  <c r="Y709" i="1"/>
  <c r="V709" i="1"/>
  <c r="W709" i="1" s="1"/>
  <c r="X709" i="1" s="1"/>
  <c r="AC708" i="1"/>
  <c r="AB708" i="1"/>
  <c r="AA708" i="1"/>
  <c r="Z708" i="1"/>
  <c r="V708" i="1"/>
  <c r="W708" i="1" s="1"/>
  <c r="AC707" i="1"/>
  <c r="AB707" i="1"/>
  <c r="AA707" i="1"/>
  <c r="Z707" i="1"/>
  <c r="X707" i="1"/>
  <c r="W707" i="1"/>
  <c r="V707" i="1"/>
  <c r="AD707" i="1" s="1"/>
  <c r="AD706" i="1"/>
  <c r="AC706" i="1"/>
  <c r="AB706" i="1"/>
  <c r="AA706" i="1"/>
  <c r="Z706" i="1"/>
  <c r="Y706" i="1"/>
  <c r="X706" i="1"/>
  <c r="V706" i="1"/>
  <c r="W706" i="1" s="1"/>
  <c r="AC705" i="1"/>
  <c r="AB705" i="1"/>
  <c r="AA705" i="1"/>
  <c r="Z705" i="1"/>
  <c r="W705" i="1"/>
  <c r="V705" i="1"/>
  <c r="AD705" i="1" s="1"/>
  <c r="AC704" i="1"/>
  <c r="AB704" i="1"/>
  <c r="AA704" i="1"/>
  <c r="Z704" i="1"/>
  <c r="V704" i="1"/>
  <c r="AC703" i="1"/>
  <c r="AB703" i="1"/>
  <c r="AA703" i="1"/>
  <c r="Z703" i="1"/>
  <c r="V703" i="1"/>
  <c r="AC702" i="1"/>
  <c r="AB702" i="1"/>
  <c r="AA702" i="1"/>
  <c r="Z702" i="1"/>
  <c r="X702" i="1"/>
  <c r="W702" i="1"/>
  <c r="V702" i="1"/>
  <c r="AC701" i="1"/>
  <c r="AD701" i="1" s="1"/>
  <c r="AB701" i="1"/>
  <c r="AA701" i="1"/>
  <c r="Z701" i="1"/>
  <c r="V701" i="1"/>
  <c r="W701" i="1" s="1"/>
  <c r="AD700" i="1"/>
  <c r="AC700" i="1"/>
  <c r="AB700" i="1"/>
  <c r="AA700" i="1"/>
  <c r="Z700" i="1"/>
  <c r="V700" i="1"/>
  <c r="W700" i="1" s="1"/>
  <c r="AC699" i="1"/>
  <c r="AB699" i="1"/>
  <c r="AA699" i="1"/>
  <c r="Z699" i="1"/>
  <c r="X699" i="1"/>
  <c r="W699" i="1"/>
  <c r="V699" i="1"/>
  <c r="AD698" i="1"/>
  <c r="AC698" i="1"/>
  <c r="AB698" i="1"/>
  <c r="AA698" i="1"/>
  <c r="Z698" i="1"/>
  <c r="Y698" i="1"/>
  <c r="X698" i="1"/>
  <c r="V698" i="1"/>
  <c r="W698" i="1" s="1"/>
  <c r="AC697" i="1"/>
  <c r="AB697" i="1"/>
  <c r="AA697" i="1"/>
  <c r="Z697" i="1"/>
  <c r="Y697" i="1"/>
  <c r="W697" i="1"/>
  <c r="X697" i="1" s="1"/>
  <c r="V697" i="1"/>
  <c r="AC696" i="1"/>
  <c r="AB696" i="1"/>
  <c r="AA696" i="1"/>
  <c r="Z696" i="1"/>
  <c r="X696" i="1"/>
  <c r="V696" i="1"/>
  <c r="W696" i="1" s="1"/>
  <c r="AC695" i="1"/>
  <c r="AB695" i="1"/>
  <c r="AA695" i="1"/>
  <c r="Z695" i="1"/>
  <c r="W695" i="1"/>
  <c r="X695" i="1" s="1"/>
  <c r="V695" i="1"/>
  <c r="AD695" i="1" s="1"/>
  <c r="AC694" i="1"/>
  <c r="AB694" i="1"/>
  <c r="AA694" i="1"/>
  <c r="Z694" i="1"/>
  <c r="X694" i="1"/>
  <c r="W694" i="1"/>
  <c r="V694" i="1"/>
  <c r="AD694" i="1" s="1"/>
  <c r="AC693" i="1"/>
  <c r="AB693" i="1"/>
  <c r="AA693" i="1"/>
  <c r="Z693" i="1"/>
  <c r="Y693" i="1"/>
  <c r="V693" i="1"/>
  <c r="W693" i="1" s="1"/>
  <c r="X693" i="1" s="1"/>
  <c r="AC692" i="1"/>
  <c r="AB692" i="1"/>
  <c r="AA692" i="1"/>
  <c r="Z692" i="1"/>
  <c r="V692" i="1"/>
  <c r="W692" i="1" s="1"/>
  <c r="AC691" i="1"/>
  <c r="AB691" i="1"/>
  <c r="AA691" i="1"/>
  <c r="Z691" i="1"/>
  <c r="X691" i="1"/>
  <c r="W691" i="1"/>
  <c r="V691" i="1"/>
  <c r="AD690" i="1"/>
  <c r="AC690" i="1"/>
  <c r="AB690" i="1"/>
  <c r="AA690" i="1"/>
  <c r="Z690" i="1"/>
  <c r="Y690" i="1"/>
  <c r="X690" i="1"/>
  <c r="V690" i="1"/>
  <c r="W690" i="1" s="1"/>
  <c r="AC689" i="1"/>
  <c r="AB689" i="1"/>
  <c r="AA689" i="1"/>
  <c r="Z689" i="1"/>
  <c r="W689" i="1"/>
  <c r="V689" i="1"/>
  <c r="AD689" i="1" s="1"/>
  <c r="AC688" i="1"/>
  <c r="AB688" i="1"/>
  <c r="AA688" i="1"/>
  <c r="Z688" i="1"/>
  <c r="V688" i="1"/>
  <c r="AC687" i="1"/>
  <c r="AB687" i="1"/>
  <c r="AA687" i="1"/>
  <c r="Z687" i="1"/>
  <c r="V687" i="1"/>
  <c r="AC686" i="1"/>
  <c r="AB686" i="1"/>
  <c r="AA686" i="1"/>
  <c r="Z686" i="1"/>
  <c r="X686" i="1"/>
  <c r="W686" i="1"/>
  <c r="V686" i="1"/>
  <c r="AD685" i="1"/>
  <c r="AC685" i="1"/>
  <c r="AB685" i="1"/>
  <c r="AA685" i="1"/>
  <c r="Z685" i="1"/>
  <c r="V685" i="1"/>
  <c r="W685" i="1" s="1"/>
  <c r="X685" i="1" s="1"/>
  <c r="Y685" i="1" s="1"/>
  <c r="AD684" i="1"/>
  <c r="AC684" i="1"/>
  <c r="AB684" i="1"/>
  <c r="AA684" i="1"/>
  <c r="Z684" i="1"/>
  <c r="V684" i="1"/>
  <c r="W684" i="1" s="1"/>
  <c r="AC683" i="1"/>
  <c r="AB683" i="1"/>
  <c r="AA683" i="1"/>
  <c r="Z683" i="1"/>
  <c r="W683" i="1"/>
  <c r="V683" i="1"/>
  <c r="AD682" i="1"/>
  <c r="AC682" i="1"/>
  <c r="AB682" i="1"/>
  <c r="AA682" i="1"/>
  <c r="Z682" i="1"/>
  <c r="X682" i="1"/>
  <c r="Y682" i="1" s="1"/>
  <c r="V682" i="1"/>
  <c r="W682" i="1" s="1"/>
  <c r="AC681" i="1"/>
  <c r="AB681" i="1"/>
  <c r="AA681" i="1"/>
  <c r="Z681" i="1"/>
  <c r="Y681" i="1"/>
  <c r="W681" i="1"/>
  <c r="X681" i="1" s="1"/>
  <c r="V681" i="1"/>
  <c r="AC680" i="1"/>
  <c r="AB680" i="1"/>
  <c r="AA680" i="1"/>
  <c r="Z680" i="1"/>
  <c r="X680" i="1"/>
  <c r="V680" i="1"/>
  <c r="W680" i="1" s="1"/>
  <c r="AC679" i="1"/>
  <c r="AB679" i="1"/>
  <c r="AA679" i="1"/>
  <c r="Z679" i="1"/>
  <c r="W679" i="1"/>
  <c r="X679" i="1" s="1"/>
  <c r="V679" i="1"/>
  <c r="AD679" i="1" s="1"/>
  <c r="AC678" i="1"/>
  <c r="AB678" i="1"/>
  <c r="AA678" i="1"/>
  <c r="Z678" i="1"/>
  <c r="X678" i="1"/>
  <c r="W678" i="1"/>
  <c r="V678" i="1"/>
  <c r="AD678" i="1" s="1"/>
  <c r="AC677" i="1"/>
  <c r="AB677" i="1"/>
  <c r="AA677" i="1"/>
  <c r="Z677" i="1"/>
  <c r="V677" i="1"/>
  <c r="W677" i="1" s="1"/>
  <c r="X677" i="1" s="1"/>
  <c r="Y677" i="1" s="1"/>
  <c r="AC676" i="1"/>
  <c r="AB676" i="1"/>
  <c r="AA676" i="1"/>
  <c r="Z676" i="1"/>
  <c r="Y676" i="1"/>
  <c r="V676" i="1"/>
  <c r="W676" i="1" s="1"/>
  <c r="X676" i="1" s="1"/>
  <c r="AC675" i="1"/>
  <c r="AB675" i="1"/>
  <c r="AA675" i="1"/>
  <c r="Z675" i="1"/>
  <c r="W675" i="1"/>
  <c r="V675" i="1"/>
  <c r="AD674" i="1"/>
  <c r="AC674" i="1"/>
  <c r="AB674" i="1"/>
  <c r="AA674" i="1"/>
  <c r="Z674" i="1"/>
  <c r="X674" i="1"/>
  <c r="Y674" i="1" s="1"/>
  <c r="V674" i="1"/>
  <c r="W674" i="1" s="1"/>
  <c r="AD673" i="1"/>
  <c r="AC673" i="1"/>
  <c r="AB673" i="1"/>
  <c r="AA673" i="1"/>
  <c r="Z673" i="1"/>
  <c r="W673" i="1"/>
  <c r="X673" i="1" s="1"/>
  <c r="V673" i="1"/>
  <c r="AD672" i="1"/>
  <c r="AC672" i="1"/>
  <c r="AB672" i="1"/>
  <c r="AA672" i="1"/>
  <c r="Z672" i="1"/>
  <c r="W672" i="1"/>
  <c r="V672" i="1"/>
  <c r="AC671" i="1"/>
  <c r="AB671" i="1"/>
  <c r="AA671" i="1"/>
  <c r="Z671" i="1"/>
  <c r="V671" i="1"/>
  <c r="W671" i="1" s="1"/>
  <c r="AC670" i="1"/>
  <c r="AB670" i="1"/>
  <c r="AA670" i="1"/>
  <c r="Z670" i="1"/>
  <c r="Y670" i="1"/>
  <c r="X670" i="1"/>
  <c r="W670" i="1"/>
  <c r="V670" i="1"/>
  <c r="AD670" i="1" s="1"/>
  <c r="AC669" i="1"/>
  <c r="AB669" i="1"/>
  <c r="AA669" i="1"/>
  <c r="Z669" i="1"/>
  <c r="Y669" i="1"/>
  <c r="V669" i="1"/>
  <c r="W669" i="1" s="1"/>
  <c r="X669" i="1" s="1"/>
  <c r="AC668" i="1"/>
  <c r="AB668" i="1"/>
  <c r="AA668" i="1"/>
  <c r="Z668" i="1"/>
  <c r="V668" i="1"/>
  <c r="W668" i="1" s="1"/>
  <c r="AC667" i="1"/>
  <c r="AB667" i="1"/>
  <c r="AA667" i="1"/>
  <c r="Z667" i="1"/>
  <c r="X667" i="1"/>
  <c r="W667" i="1"/>
  <c r="V667" i="1"/>
  <c r="AC666" i="1"/>
  <c r="AD666" i="1" s="1"/>
  <c r="AB666" i="1"/>
  <c r="AA666" i="1"/>
  <c r="Z666" i="1"/>
  <c r="Y666" i="1"/>
  <c r="X666" i="1"/>
  <c r="V666" i="1"/>
  <c r="W666" i="1" s="1"/>
  <c r="AC665" i="1"/>
  <c r="AD665" i="1" s="1"/>
  <c r="AB665" i="1"/>
  <c r="AA665" i="1"/>
  <c r="Z665" i="1"/>
  <c r="W665" i="1"/>
  <c r="X665" i="1" s="1"/>
  <c r="V665" i="1"/>
  <c r="AC664" i="1"/>
  <c r="AD664" i="1" s="1"/>
  <c r="AB664" i="1"/>
  <c r="AA664" i="1"/>
  <c r="Z664" i="1"/>
  <c r="W664" i="1"/>
  <c r="V664" i="1"/>
  <c r="AC663" i="1"/>
  <c r="AB663" i="1"/>
  <c r="AA663" i="1"/>
  <c r="Z663" i="1"/>
  <c r="V663" i="1"/>
  <c r="W663" i="1" s="1"/>
  <c r="X663" i="1" s="1"/>
  <c r="Y663" i="1" s="1"/>
  <c r="AC662" i="1"/>
  <c r="AB662" i="1"/>
  <c r="AA662" i="1"/>
  <c r="Z662" i="1"/>
  <c r="V662" i="1"/>
  <c r="W662" i="1" s="1"/>
  <c r="X662" i="1" s="1"/>
  <c r="AC661" i="1"/>
  <c r="AB661" i="1"/>
  <c r="AA661" i="1"/>
  <c r="Z661" i="1"/>
  <c r="W661" i="1"/>
  <c r="V661" i="1"/>
  <c r="AD661" i="1" s="1"/>
  <c r="AC660" i="1"/>
  <c r="AB660" i="1"/>
  <c r="AA660" i="1"/>
  <c r="Z660" i="1"/>
  <c r="X660" i="1"/>
  <c r="Y660" i="1" s="1"/>
  <c r="W660" i="1"/>
  <c r="V660" i="1"/>
  <c r="AD660" i="1" s="1"/>
  <c r="AC659" i="1"/>
  <c r="AB659" i="1"/>
  <c r="AA659" i="1"/>
  <c r="Z659" i="1"/>
  <c r="V659" i="1"/>
  <c r="W659" i="1" s="1"/>
  <c r="AC658" i="1"/>
  <c r="AB658" i="1"/>
  <c r="AA658" i="1"/>
  <c r="Z658" i="1"/>
  <c r="V658" i="1"/>
  <c r="AC657" i="1"/>
  <c r="AB657" i="1"/>
  <c r="AA657" i="1"/>
  <c r="Z657" i="1"/>
  <c r="V657" i="1"/>
  <c r="AC656" i="1"/>
  <c r="AB656" i="1"/>
  <c r="AA656" i="1"/>
  <c r="Z656" i="1"/>
  <c r="X656" i="1"/>
  <c r="W656" i="1"/>
  <c r="V656" i="1"/>
  <c r="AD656" i="1" s="1"/>
  <c r="AC655" i="1"/>
  <c r="AB655" i="1"/>
  <c r="AA655" i="1"/>
  <c r="Z655" i="1"/>
  <c r="Y655" i="1"/>
  <c r="X655" i="1"/>
  <c r="V655" i="1"/>
  <c r="W655" i="1" s="1"/>
  <c r="AC654" i="1"/>
  <c r="AB654" i="1"/>
  <c r="AA654" i="1"/>
  <c r="Z654" i="1"/>
  <c r="V654" i="1"/>
  <c r="W654" i="1" s="1"/>
  <c r="X654" i="1" s="1"/>
  <c r="AC653" i="1"/>
  <c r="AB653" i="1"/>
  <c r="AA653" i="1"/>
  <c r="Z653" i="1"/>
  <c r="W653" i="1"/>
  <c r="V653" i="1"/>
  <c r="AD653" i="1" s="1"/>
  <c r="AC652" i="1"/>
  <c r="AB652" i="1"/>
  <c r="AA652" i="1"/>
  <c r="Z652" i="1"/>
  <c r="X652" i="1"/>
  <c r="Y652" i="1" s="1"/>
  <c r="W652" i="1"/>
  <c r="V652" i="1"/>
  <c r="AD652" i="1" s="1"/>
  <c r="AC651" i="1"/>
  <c r="AB651" i="1"/>
  <c r="AA651" i="1"/>
  <c r="Z651" i="1"/>
  <c r="V651" i="1"/>
  <c r="W651" i="1" s="1"/>
  <c r="AC650" i="1"/>
  <c r="AB650" i="1"/>
  <c r="AA650" i="1"/>
  <c r="Z650" i="1"/>
  <c r="V650" i="1"/>
  <c r="W650" i="1" s="1"/>
  <c r="AC649" i="1"/>
  <c r="AB649" i="1"/>
  <c r="AA649" i="1"/>
  <c r="Z649" i="1"/>
  <c r="V649" i="1"/>
  <c r="W649" i="1" s="1"/>
  <c r="AC648" i="1"/>
  <c r="AB648" i="1"/>
  <c r="AA648" i="1"/>
  <c r="Z648" i="1"/>
  <c r="W648" i="1"/>
  <c r="V648" i="1"/>
  <c r="AD648" i="1" s="1"/>
  <c r="AC647" i="1"/>
  <c r="AB647" i="1"/>
  <c r="AA647" i="1"/>
  <c r="Z647" i="1"/>
  <c r="V647" i="1"/>
  <c r="W647" i="1" s="1"/>
  <c r="AC646" i="1"/>
  <c r="AB646" i="1"/>
  <c r="AA646" i="1"/>
  <c r="Z646" i="1"/>
  <c r="V646" i="1"/>
  <c r="W646" i="1" s="1"/>
  <c r="X646" i="1" s="1"/>
  <c r="AC645" i="1"/>
  <c r="AB645" i="1"/>
  <c r="AA645" i="1"/>
  <c r="Z645" i="1"/>
  <c r="W645" i="1"/>
  <c r="V645" i="1"/>
  <c r="AD645" i="1" s="1"/>
  <c r="AC644" i="1"/>
  <c r="AB644" i="1"/>
  <c r="AA644" i="1"/>
  <c r="Z644" i="1"/>
  <c r="X644" i="1"/>
  <c r="Y644" i="1" s="1"/>
  <c r="W644" i="1"/>
  <c r="V644" i="1"/>
  <c r="AD644" i="1" s="1"/>
  <c r="AC643" i="1"/>
  <c r="AB643" i="1"/>
  <c r="AA643" i="1"/>
  <c r="Z643" i="1"/>
  <c r="V643" i="1"/>
  <c r="W643" i="1" s="1"/>
  <c r="AC642" i="1"/>
  <c r="AB642" i="1"/>
  <c r="AA642" i="1"/>
  <c r="Z642" i="1"/>
  <c r="V642" i="1"/>
  <c r="W642" i="1" s="1"/>
  <c r="AD641" i="1"/>
  <c r="AC641" i="1"/>
  <c r="AB641" i="1"/>
  <c r="AA641" i="1"/>
  <c r="Z641" i="1"/>
  <c r="W641" i="1"/>
  <c r="V641" i="1"/>
  <c r="AC640" i="1"/>
  <c r="AB640" i="1"/>
  <c r="AA640" i="1"/>
  <c r="Z640" i="1"/>
  <c r="W640" i="1"/>
  <c r="V640" i="1"/>
  <c r="AD640" i="1" s="1"/>
  <c r="AC639" i="1"/>
  <c r="AB639" i="1"/>
  <c r="AA639" i="1"/>
  <c r="Z639" i="1"/>
  <c r="V639" i="1"/>
  <c r="W639" i="1" s="1"/>
  <c r="AC638" i="1"/>
  <c r="AB638" i="1"/>
  <c r="AA638" i="1"/>
  <c r="Z638" i="1"/>
  <c r="V638" i="1"/>
  <c r="W638" i="1" s="1"/>
  <c r="X638" i="1" s="1"/>
  <c r="AC637" i="1"/>
  <c r="AB637" i="1"/>
  <c r="AA637" i="1"/>
  <c r="Z637" i="1"/>
  <c r="W637" i="1"/>
  <c r="V637" i="1"/>
  <c r="AD637" i="1" s="1"/>
  <c r="AC636" i="1"/>
  <c r="AB636" i="1"/>
  <c r="AA636" i="1"/>
  <c r="Z636" i="1"/>
  <c r="X636" i="1"/>
  <c r="Y636" i="1" s="1"/>
  <c r="W636" i="1"/>
  <c r="V636" i="1"/>
  <c r="AD636" i="1" s="1"/>
  <c r="AC635" i="1"/>
  <c r="AB635" i="1"/>
  <c r="AA635" i="1"/>
  <c r="Z635" i="1"/>
  <c r="Y635" i="1"/>
  <c r="V635" i="1"/>
  <c r="W635" i="1" s="1"/>
  <c r="X635" i="1" s="1"/>
  <c r="AC634" i="1"/>
  <c r="AB634" i="1"/>
  <c r="AA634" i="1"/>
  <c r="Z634" i="1"/>
  <c r="V634" i="1"/>
  <c r="W634" i="1" s="1"/>
  <c r="AC633" i="1"/>
  <c r="AB633" i="1"/>
  <c r="AA633" i="1"/>
  <c r="Z633" i="1"/>
  <c r="V633" i="1"/>
  <c r="W633" i="1" s="1"/>
  <c r="AC632" i="1"/>
  <c r="AB632" i="1"/>
  <c r="AA632" i="1"/>
  <c r="Z632" i="1"/>
  <c r="W632" i="1"/>
  <c r="V632" i="1"/>
  <c r="AD632" i="1" s="1"/>
  <c r="AC631" i="1"/>
  <c r="AD631" i="1" s="1"/>
  <c r="AB631" i="1"/>
  <c r="AA631" i="1"/>
  <c r="Z631" i="1"/>
  <c r="X631" i="1"/>
  <c r="Y631" i="1" s="1"/>
  <c r="V631" i="1"/>
  <c r="W631" i="1" s="1"/>
  <c r="AD630" i="1"/>
  <c r="AC630" i="1"/>
  <c r="AB630" i="1"/>
  <c r="AA630" i="1"/>
  <c r="Z630" i="1"/>
  <c r="W630" i="1"/>
  <c r="X630" i="1" s="1"/>
  <c r="V630" i="1"/>
  <c r="AC629" i="1"/>
  <c r="AB629" i="1"/>
  <c r="AA629" i="1"/>
  <c r="Z629" i="1"/>
  <c r="W629" i="1"/>
  <c r="V629" i="1"/>
  <c r="AD629" i="1" s="1"/>
  <c r="AC628" i="1"/>
  <c r="AB628" i="1"/>
  <c r="AA628" i="1"/>
  <c r="Z628" i="1"/>
  <c r="X628" i="1"/>
  <c r="Y628" i="1" s="1"/>
  <c r="W628" i="1"/>
  <c r="V628" i="1"/>
  <c r="AD628" i="1" s="1"/>
  <c r="AC627" i="1"/>
  <c r="AB627" i="1"/>
  <c r="AA627" i="1"/>
  <c r="Z627" i="1"/>
  <c r="V627" i="1"/>
  <c r="W627" i="1" s="1"/>
  <c r="X627" i="1" s="1"/>
  <c r="AC626" i="1"/>
  <c r="AD626" i="1" s="1"/>
  <c r="AB626" i="1"/>
  <c r="AA626" i="1"/>
  <c r="Z626" i="1"/>
  <c r="V626" i="1"/>
  <c r="W626" i="1" s="1"/>
  <c r="AC625" i="1"/>
  <c r="AB625" i="1"/>
  <c r="AA625" i="1"/>
  <c r="Z625" i="1"/>
  <c r="V625" i="1"/>
  <c r="W625" i="1" s="1"/>
  <c r="AC624" i="1"/>
  <c r="AB624" i="1"/>
  <c r="AA624" i="1"/>
  <c r="Z624" i="1"/>
  <c r="X624" i="1"/>
  <c r="W624" i="1"/>
  <c r="V624" i="1"/>
  <c r="AC623" i="1"/>
  <c r="AD623" i="1" s="1"/>
  <c r="AB623" i="1"/>
  <c r="AA623" i="1"/>
  <c r="Z623" i="1"/>
  <c r="V623" i="1"/>
  <c r="W623" i="1" s="1"/>
  <c r="X623" i="1" s="1"/>
  <c r="Y623" i="1" s="1"/>
  <c r="AD622" i="1"/>
  <c r="AC622" i="1"/>
  <c r="AB622" i="1"/>
  <c r="AA622" i="1"/>
  <c r="Z622" i="1"/>
  <c r="Y622" i="1"/>
  <c r="V622" i="1"/>
  <c r="W622" i="1" s="1"/>
  <c r="X622" i="1" s="1"/>
  <c r="AD621" i="1"/>
  <c r="AC621" i="1"/>
  <c r="AB621" i="1"/>
  <c r="AA621" i="1"/>
  <c r="Z621" i="1"/>
  <c r="V621" i="1"/>
  <c r="W621" i="1" s="1"/>
  <c r="AC620" i="1"/>
  <c r="AB620" i="1"/>
  <c r="AA620" i="1"/>
  <c r="Z620" i="1"/>
  <c r="Y620" i="1"/>
  <c r="X620" i="1"/>
  <c r="W620" i="1"/>
  <c r="V620" i="1"/>
  <c r="AD620" i="1" s="1"/>
  <c r="AC619" i="1"/>
  <c r="AB619" i="1"/>
  <c r="AA619" i="1"/>
  <c r="Z619" i="1"/>
  <c r="Y619" i="1"/>
  <c r="X619" i="1"/>
  <c r="V619" i="1"/>
  <c r="W619" i="1" s="1"/>
  <c r="AC618" i="1"/>
  <c r="AB618" i="1"/>
  <c r="AA618" i="1"/>
  <c r="Z618" i="1"/>
  <c r="V618" i="1"/>
  <c r="AC617" i="1"/>
  <c r="AB617" i="1"/>
  <c r="AA617" i="1"/>
  <c r="Z617" i="1"/>
  <c r="V617" i="1"/>
  <c r="AC616" i="1"/>
  <c r="AB616" i="1"/>
  <c r="AA616" i="1"/>
  <c r="Z616" i="1"/>
  <c r="X616" i="1"/>
  <c r="W616" i="1"/>
  <c r="V616" i="1"/>
  <c r="AC615" i="1"/>
  <c r="AD615" i="1" s="1"/>
  <c r="AB615" i="1"/>
  <c r="AA615" i="1"/>
  <c r="Z615" i="1"/>
  <c r="V615" i="1"/>
  <c r="W615" i="1" s="1"/>
  <c r="X615" i="1" s="1"/>
  <c r="Y615" i="1" s="1"/>
  <c r="AD614" i="1"/>
  <c r="AC614" i="1"/>
  <c r="AB614" i="1"/>
  <c r="AA614" i="1"/>
  <c r="Z614" i="1"/>
  <c r="V614" i="1"/>
  <c r="W614" i="1" s="1"/>
  <c r="AD613" i="1"/>
  <c r="AC613" i="1"/>
  <c r="AB613" i="1"/>
  <c r="AA613" i="1"/>
  <c r="Z613" i="1"/>
  <c r="V613" i="1"/>
  <c r="W613" i="1" s="1"/>
  <c r="AC612" i="1"/>
  <c r="AB612" i="1"/>
  <c r="AA612" i="1"/>
  <c r="Z612" i="1"/>
  <c r="Y612" i="1"/>
  <c r="X612" i="1"/>
  <c r="W612" i="1"/>
  <c r="V612" i="1"/>
  <c r="AD612" i="1" s="1"/>
  <c r="AC611" i="1"/>
  <c r="AB611" i="1"/>
  <c r="AA611" i="1"/>
  <c r="Z611" i="1"/>
  <c r="Y611" i="1"/>
  <c r="X611" i="1"/>
  <c r="V611" i="1"/>
  <c r="W611" i="1" s="1"/>
  <c r="AC610" i="1"/>
  <c r="AB610" i="1"/>
  <c r="AA610" i="1"/>
  <c r="Z610" i="1"/>
  <c r="Y610" i="1"/>
  <c r="V610" i="1"/>
  <c r="W610" i="1" s="1"/>
  <c r="X610" i="1" s="1"/>
  <c r="AC609" i="1"/>
  <c r="AB609" i="1"/>
  <c r="AA609" i="1"/>
  <c r="Z609" i="1"/>
  <c r="V609" i="1"/>
  <c r="W609" i="1" s="1"/>
  <c r="AC608" i="1"/>
  <c r="AB608" i="1"/>
  <c r="AA608" i="1"/>
  <c r="Z608" i="1"/>
  <c r="X608" i="1"/>
  <c r="W608" i="1"/>
  <c r="V608" i="1"/>
  <c r="AC607" i="1"/>
  <c r="AD607" i="1" s="1"/>
  <c r="AB607" i="1"/>
  <c r="AA607" i="1"/>
  <c r="Z607" i="1"/>
  <c r="Y607" i="1"/>
  <c r="V607" i="1"/>
  <c r="W607" i="1" s="1"/>
  <c r="X607" i="1" s="1"/>
  <c r="AC606" i="1"/>
  <c r="AD606" i="1" s="1"/>
  <c r="AB606" i="1"/>
  <c r="AA606" i="1"/>
  <c r="Z606" i="1"/>
  <c r="V606" i="1"/>
  <c r="W606" i="1" s="1"/>
  <c r="X606" i="1" s="1"/>
  <c r="AD605" i="1"/>
  <c r="AC605" i="1"/>
  <c r="AB605" i="1"/>
  <c r="AA605" i="1"/>
  <c r="Z605" i="1"/>
  <c r="V605" i="1"/>
  <c r="W605" i="1" s="1"/>
  <c r="AC604" i="1"/>
  <c r="AB604" i="1"/>
  <c r="AA604" i="1"/>
  <c r="Z604" i="1"/>
  <c r="Y604" i="1"/>
  <c r="X604" i="1"/>
  <c r="W604" i="1"/>
  <c r="V604" i="1"/>
  <c r="AD604" i="1" s="1"/>
  <c r="AC603" i="1"/>
  <c r="AB603" i="1"/>
  <c r="AA603" i="1"/>
  <c r="Z603" i="1"/>
  <c r="Y603" i="1"/>
  <c r="X603" i="1"/>
  <c r="V603" i="1"/>
  <c r="W603" i="1" s="1"/>
  <c r="AC602" i="1"/>
  <c r="AB602" i="1"/>
  <c r="AA602" i="1"/>
  <c r="Z602" i="1"/>
  <c r="V602" i="1"/>
  <c r="AC601" i="1"/>
  <c r="AB601" i="1"/>
  <c r="AA601" i="1"/>
  <c r="Z601" i="1"/>
  <c r="V601" i="1"/>
  <c r="AC600" i="1"/>
  <c r="AB600" i="1"/>
  <c r="AA600" i="1"/>
  <c r="Z600" i="1"/>
  <c r="X600" i="1"/>
  <c r="W600" i="1"/>
  <c r="V600" i="1"/>
  <c r="AC599" i="1"/>
  <c r="AD599" i="1" s="1"/>
  <c r="AB599" i="1"/>
  <c r="AA599" i="1"/>
  <c r="Z599" i="1"/>
  <c r="V599" i="1"/>
  <c r="W599" i="1" s="1"/>
  <c r="X599" i="1" s="1"/>
  <c r="Y599" i="1" s="1"/>
  <c r="AC598" i="1"/>
  <c r="AD598" i="1" s="1"/>
  <c r="AB598" i="1"/>
  <c r="AA598" i="1"/>
  <c r="Z598" i="1"/>
  <c r="V598" i="1"/>
  <c r="W598" i="1" s="1"/>
  <c r="AD597" i="1"/>
  <c r="AC597" i="1"/>
  <c r="AB597" i="1"/>
  <c r="AA597" i="1"/>
  <c r="Z597" i="1"/>
  <c r="V597" i="1"/>
  <c r="W597" i="1" s="1"/>
  <c r="AC596" i="1"/>
  <c r="AB596" i="1"/>
  <c r="AA596" i="1"/>
  <c r="Z596" i="1"/>
  <c r="Y596" i="1"/>
  <c r="X596" i="1"/>
  <c r="W596" i="1"/>
  <c r="V596" i="1"/>
  <c r="AD596" i="1" s="1"/>
  <c r="AC595" i="1"/>
  <c r="AB595" i="1"/>
  <c r="AA595" i="1"/>
  <c r="Z595" i="1"/>
  <c r="Y595" i="1"/>
  <c r="X595" i="1"/>
  <c r="V595" i="1"/>
  <c r="W595" i="1" s="1"/>
  <c r="AC594" i="1"/>
  <c r="AB594" i="1"/>
  <c r="AA594" i="1"/>
  <c r="Z594" i="1"/>
  <c r="Y594" i="1"/>
  <c r="V594" i="1"/>
  <c r="W594" i="1" s="1"/>
  <c r="X594" i="1" s="1"/>
  <c r="AC593" i="1"/>
  <c r="AB593" i="1"/>
  <c r="AA593" i="1"/>
  <c r="Z593" i="1"/>
  <c r="V593" i="1"/>
  <c r="W593" i="1" s="1"/>
  <c r="AC592" i="1"/>
  <c r="AB592" i="1"/>
  <c r="AA592" i="1"/>
  <c r="Z592" i="1"/>
  <c r="X592" i="1"/>
  <c r="W592" i="1"/>
  <c r="V592" i="1"/>
  <c r="AC591" i="1"/>
  <c r="AD591" i="1" s="1"/>
  <c r="AB591" i="1"/>
  <c r="AA591" i="1"/>
  <c r="Z591" i="1"/>
  <c r="Y591" i="1"/>
  <c r="V591" i="1"/>
  <c r="W591" i="1" s="1"/>
  <c r="X591" i="1" s="1"/>
  <c r="AC590" i="1"/>
  <c r="AD590" i="1" s="1"/>
  <c r="AB590" i="1"/>
  <c r="AA590" i="1"/>
  <c r="Z590" i="1"/>
  <c r="V590" i="1"/>
  <c r="W590" i="1" s="1"/>
  <c r="X590" i="1" s="1"/>
  <c r="AD589" i="1"/>
  <c r="AC589" i="1"/>
  <c r="AB589" i="1"/>
  <c r="AA589" i="1"/>
  <c r="Z589" i="1"/>
  <c r="X589" i="1"/>
  <c r="V589" i="1"/>
  <c r="W589" i="1" s="1"/>
  <c r="AC588" i="1"/>
  <c r="AB588" i="1"/>
  <c r="AA588" i="1"/>
  <c r="Z588" i="1"/>
  <c r="X588" i="1"/>
  <c r="Y588" i="1" s="1"/>
  <c r="W588" i="1"/>
  <c r="V588" i="1"/>
  <c r="AD588" i="1" s="1"/>
  <c r="AC587" i="1"/>
  <c r="AD587" i="1" s="1"/>
  <c r="AB587" i="1"/>
  <c r="AA587" i="1"/>
  <c r="Z587" i="1"/>
  <c r="V587" i="1"/>
  <c r="W587" i="1" s="1"/>
  <c r="X587" i="1" s="1"/>
  <c r="Y587" i="1" s="1"/>
  <c r="AC586" i="1"/>
  <c r="AD586" i="1" s="1"/>
  <c r="AB586" i="1"/>
  <c r="AA586" i="1"/>
  <c r="Z586" i="1"/>
  <c r="V586" i="1"/>
  <c r="W586" i="1" s="1"/>
  <c r="X586" i="1" s="1"/>
  <c r="AD585" i="1"/>
  <c r="AC585" i="1"/>
  <c r="AB585" i="1"/>
  <c r="AA585" i="1"/>
  <c r="Z585" i="1"/>
  <c r="X585" i="1"/>
  <c r="V585" i="1"/>
  <c r="W585" i="1" s="1"/>
  <c r="AC584" i="1"/>
  <c r="AB584" i="1"/>
  <c r="AA584" i="1"/>
  <c r="Z584" i="1"/>
  <c r="X584" i="1"/>
  <c r="Y584" i="1" s="1"/>
  <c r="W584" i="1"/>
  <c r="V584" i="1"/>
  <c r="AC583" i="1"/>
  <c r="AD583" i="1" s="1"/>
  <c r="AB583" i="1"/>
  <c r="AA583" i="1"/>
  <c r="Z583" i="1"/>
  <c r="V583" i="1"/>
  <c r="W583" i="1" s="1"/>
  <c r="X583" i="1" s="1"/>
  <c r="Y583" i="1" s="1"/>
  <c r="AC582" i="1"/>
  <c r="AD582" i="1" s="1"/>
  <c r="AB582" i="1"/>
  <c r="AA582" i="1"/>
  <c r="Z582" i="1"/>
  <c r="Y582" i="1"/>
  <c r="V582" i="1"/>
  <c r="W582" i="1" s="1"/>
  <c r="X582" i="1" s="1"/>
  <c r="AD581" i="1"/>
  <c r="AC581" i="1"/>
  <c r="AB581" i="1"/>
  <c r="AA581" i="1"/>
  <c r="Z581" i="1"/>
  <c r="X581" i="1"/>
  <c r="V581" i="1"/>
  <c r="W581" i="1" s="1"/>
  <c r="AC580" i="1"/>
  <c r="AB580" i="1"/>
  <c r="AA580" i="1"/>
  <c r="Z580" i="1"/>
  <c r="X580" i="1"/>
  <c r="Y580" i="1" s="1"/>
  <c r="W580" i="1"/>
  <c r="V580" i="1"/>
  <c r="AC579" i="1"/>
  <c r="AD579" i="1" s="1"/>
  <c r="AB579" i="1"/>
  <c r="AA579" i="1"/>
  <c r="Z579" i="1"/>
  <c r="V579" i="1"/>
  <c r="W579" i="1" s="1"/>
  <c r="X579" i="1" s="1"/>
  <c r="Y579" i="1" s="1"/>
  <c r="AC578" i="1"/>
  <c r="AD578" i="1" s="1"/>
  <c r="AB578" i="1"/>
  <c r="AA578" i="1"/>
  <c r="Z578" i="1"/>
  <c r="V578" i="1"/>
  <c r="W578" i="1" s="1"/>
  <c r="X578" i="1" s="1"/>
  <c r="AD577" i="1"/>
  <c r="AC577" i="1"/>
  <c r="AB577" i="1"/>
  <c r="AA577" i="1"/>
  <c r="Z577" i="1"/>
  <c r="V577" i="1"/>
  <c r="W577" i="1" s="1"/>
  <c r="AC576" i="1"/>
  <c r="AB576" i="1"/>
  <c r="AA576" i="1"/>
  <c r="Z576" i="1"/>
  <c r="Y576" i="1"/>
  <c r="X576" i="1"/>
  <c r="W576" i="1"/>
  <c r="V576" i="1"/>
  <c r="AC575" i="1"/>
  <c r="AD575" i="1" s="1"/>
  <c r="AB575" i="1"/>
  <c r="AA575" i="1"/>
  <c r="Z575" i="1"/>
  <c r="Y575" i="1"/>
  <c r="V575" i="1"/>
  <c r="W575" i="1" s="1"/>
  <c r="X575" i="1" s="1"/>
  <c r="AC574" i="1"/>
  <c r="AD574" i="1" s="1"/>
  <c r="AB574" i="1"/>
  <c r="AA574" i="1"/>
  <c r="Z574" i="1"/>
  <c r="V574" i="1"/>
  <c r="W574" i="1" s="1"/>
  <c r="AD573" i="1"/>
  <c r="AC573" i="1"/>
  <c r="AB573" i="1"/>
  <c r="AA573" i="1"/>
  <c r="Z573" i="1"/>
  <c r="V573" i="1"/>
  <c r="W573" i="1" s="1"/>
  <c r="AC572" i="1"/>
  <c r="AB572" i="1"/>
  <c r="AA572" i="1"/>
  <c r="Z572" i="1"/>
  <c r="X572" i="1"/>
  <c r="Y572" i="1" s="1"/>
  <c r="W572" i="1"/>
  <c r="V572" i="1"/>
  <c r="AC571" i="1"/>
  <c r="AD571" i="1" s="1"/>
  <c r="AB571" i="1"/>
  <c r="AA571" i="1"/>
  <c r="Z571" i="1"/>
  <c r="V571" i="1"/>
  <c r="W571" i="1" s="1"/>
  <c r="X571" i="1" s="1"/>
  <c r="Y571" i="1" s="1"/>
  <c r="AC570" i="1"/>
  <c r="AD570" i="1" s="1"/>
  <c r="AB570" i="1"/>
  <c r="AA570" i="1"/>
  <c r="Z570" i="1"/>
  <c r="Y570" i="1"/>
  <c r="V570" i="1"/>
  <c r="W570" i="1" s="1"/>
  <c r="X570" i="1" s="1"/>
  <c r="AD569" i="1"/>
  <c r="AC569" i="1"/>
  <c r="AB569" i="1"/>
  <c r="AA569" i="1"/>
  <c r="Z569" i="1"/>
  <c r="X569" i="1"/>
  <c r="V569" i="1"/>
  <c r="W569" i="1" s="1"/>
  <c r="AC568" i="1"/>
  <c r="AB568" i="1"/>
  <c r="AA568" i="1"/>
  <c r="Z568" i="1"/>
  <c r="X568" i="1"/>
  <c r="Y568" i="1" s="1"/>
  <c r="W568" i="1"/>
  <c r="V568" i="1"/>
  <c r="AC567" i="1"/>
  <c r="AD567" i="1" s="1"/>
  <c r="AB567" i="1"/>
  <c r="AA567" i="1"/>
  <c r="Z567" i="1"/>
  <c r="V567" i="1"/>
  <c r="W567" i="1" s="1"/>
  <c r="X567" i="1" s="1"/>
  <c r="Y567" i="1" s="1"/>
  <c r="AC566" i="1"/>
  <c r="AD566" i="1" s="1"/>
  <c r="AB566" i="1"/>
  <c r="AA566" i="1"/>
  <c r="Z566" i="1"/>
  <c r="Y566" i="1"/>
  <c r="V566" i="1"/>
  <c r="W566" i="1" s="1"/>
  <c r="X566" i="1" s="1"/>
  <c r="AD565" i="1"/>
  <c r="AC565" i="1"/>
  <c r="AB565" i="1"/>
  <c r="AA565" i="1"/>
  <c r="Z565" i="1"/>
  <c r="V565" i="1"/>
  <c r="W565" i="1" s="1"/>
  <c r="AC564" i="1"/>
  <c r="AB564" i="1"/>
  <c r="AA564" i="1"/>
  <c r="Z564" i="1"/>
  <c r="Y564" i="1"/>
  <c r="X564" i="1"/>
  <c r="W564" i="1"/>
  <c r="V564" i="1"/>
  <c r="AC563" i="1"/>
  <c r="AD563" i="1" s="1"/>
  <c r="AB563" i="1"/>
  <c r="AA563" i="1"/>
  <c r="Z563" i="1"/>
  <c r="V563" i="1"/>
  <c r="W563" i="1" s="1"/>
  <c r="X563" i="1" s="1"/>
  <c r="Y563" i="1" s="1"/>
  <c r="AD562" i="1"/>
  <c r="AC562" i="1"/>
  <c r="AB562" i="1"/>
  <c r="AA562" i="1"/>
  <c r="Z562" i="1"/>
  <c r="Y562" i="1"/>
  <c r="V562" i="1"/>
  <c r="W562" i="1" s="1"/>
  <c r="X562" i="1" s="1"/>
  <c r="AD561" i="1"/>
  <c r="AC561" i="1"/>
  <c r="AB561" i="1"/>
  <c r="AA561" i="1"/>
  <c r="Z561" i="1"/>
  <c r="X561" i="1"/>
  <c r="V561" i="1"/>
  <c r="W561" i="1" s="1"/>
  <c r="AC560" i="1"/>
  <c r="AB560" i="1"/>
  <c r="AA560" i="1"/>
  <c r="Z560" i="1"/>
  <c r="X560" i="1"/>
  <c r="Y560" i="1" s="1"/>
  <c r="W560" i="1"/>
  <c r="V560" i="1"/>
  <c r="AC559" i="1"/>
  <c r="AD559" i="1" s="1"/>
  <c r="AB559" i="1"/>
  <c r="AA559" i="1"/>
  <c r="Z559" i="1"/>
  <c r="Y559" i="1"/>
  <c r="V559" i="1"/>
  <c r="W559" i="1" s="1"/>
  <c r="X559" i="1" s="1"/>
  <c r="AD558" i="1"/>
  <c r="AC558" i="1"/>
  <c r="AB558" i="1"/>
  <c r="AA558" i="1"/>
  <c r="Z558" i="1"/>
  <c r="V558" i="1"/>
  <c r="W558" i="1" s="1"/>
  <c r="AD557" i="1"/>
  <c r="AC557" i="1"/>
  <c r="AB557" i="1"/>
  <c r="AA557" i="1"/>
  <c r="Z557" i="1"/>
  <c r="V557" i="1"/>
  <c r="W557" i="1" s="1"/>
  <c r="AC556" i="1"/>
  <c r="AB556" i="1"/>
  <c r="AA556" i="1"/>
  <c r="Z556" i="1"/>
  <c r="X556" i="1"/>
  <c r="Y556" i="1" s="1"/>
  <c r="W556" i="1"/>
  <c r="V556" i="1"/>
  <c r="AC555" i="1"/>
  <c r="AD555" i="1" s="1"/>
  <c r="AB555" i="1"/>
  <c r="AA555" i="1"/>
  <c r="Z555" i="1"/>
  <c r="Y555" i="1"/>
  <c r="V555" i="1"/>
  <c r="W555" i="1" s="1"/>
  <c r="X555" i="1" s="1"/>
  <c r="AC554" i="1"/>
  <c r="AD554" i="1" s="1"/>
  <c r="AB554" i="1"/>
  <c r="AA554" i="1"/>
  <c r="Z554" i="1"/>
  <c r="V554" i="1"/>
  <c r="W554" i="1" s="1"/>
  <c r="X554" i="1" s="1"/>
  <c r="AD553" i="1"/>
  <c r="AC553" i="1"/>
  <c r="AB553" i="1"/>
  <c r="AA553" i="1"/>
  <c r="Z553" i="1"/>
  <c r="V553" i="1"/>
  <c r="W553" i="1" s="1"/>
  <c r="AC552" i="1"/>
  <c r="AB552" i="1"/>
  <c r="AA552" i="1"/>
  <c r="Z552" i="1"/>
  <c r="Y552" i="1"/>
  <c r="X552" i="1"/>
  <c r="W552" i="1"/>
  <c r="V552" i="1"/>
  <c r="AD551" i="1"/>
  <c r="AC551" i="1"/>
  <c r="AB551" i="1"/>
  <c r="AA551" i="1"/>
  <c r="Z551" i="1"/>
  <c r="Y551" i="1"/>
  <c r="V551" i="1"/>
  <c r="W551" i="1" s="1"/>
  <c r="X551" i="1" s="1"/>
  <c r="AC550" i="1"/>
  <c r="AD550" i="1" s="1"/>
  <c r="AB550" i="1"/>
  <c r="AA550" i="1"/>
  <c r="Z550" i="1"/>
  <c r="Y550" i="1"/>
  <c r="V550" i="1"/>
  <c r="W550" i="1" s="1"/>
  <c r="X550" i="1" s="1"/>
  <c r="AC549" i="1"/>
  <c r="AB549" i="1"/>
  <c r="AA549" i="1"/>
  <c r="Z549" i="1"/>
  <c r="W549" i="1"/>
  <c r="V549" i="1"/>
  <c r="AD549" i="1" s="1"/>
  <c r="AC548" i="1"/>
  <c r="AB548" i="1"/>
  <c r="AA548" i="1"/>
  <c r="Z548" i="1"/>
  <c r="W548" i="1"/>
  <c r="V548" i="1"/>
  <c r="AD548" i="1" s="1"/>
  <c r="AC547" i="1"/>
  <c r="AB547" i="1"/>
  <c r="AA547" i="1"/>
  <c r="Z547" i="1"/>
  <c r="V547" i="1"/>
  <c r="AC546" i="1"/>
  <c r="AB546" i="1"/>
  <c r="AA546" i="1"/>
  <c r="Z546" i="1"/>
  <c r="W546" i="1"/>
  <c r="V546" i="1"/>
  <c r="AD546" i="1" s="1"/>
  <c r="AC545" i="1"/>
  <c r="AB545" i="1"/>
  <c r="AA545" i="1"/>
  <c r="Z545" i="1"/>
  <c r="W545" i="1"/>
  <c r="V545" i="1"/>
  <c r="AD545" i="1" s="1"/>
  <c r="AC544" i="1"/>
  <c r="AB544" i="1"/>
  <c r="AA544" i="1"/>
  <c r="Z544" i="1"/>
  <c r="W544" i="1"/>
  <c r="V544" i="1"/>
  <c r="AD544" i="1" s="1"/>
  <c r="AC543" i="1"/>
  <c r="AB543" i="1"/>
  <c r="AA543" i="1"/>
  <c r="Z543" i="1"/>
  <c r="V543" i="1"/>
  <c r="W543" i="1" s="1"/>
  <c r="X543" i="1" s="1"/>
  <c r="Y543" i="1" s="1"/>
  <c r="AD542" i="1"/>
  <c r="AC542" i="1"/>
  <c r="AB542" i="1"/>
  <c r="AA542" i="1"/>
  <c r="Z542" i="1"/>
  <c r="Y542" i="1"/>
  <c r="V542" i="1"/>
  <c r="W542" i="1" s="1"/>
  <c r="X542" i="1" s="1"/>
  <c r="AC541" i="1"/>
  <c r="AB541" i="1"/>
  <c r="AA541" i="1"/>
  <c r="Z541" i="1"/>
  <c r="V541" i="1"/>
  <c r="W541" i="1" s="1"/>
  <c r="AC540" i="1"/>
  <c r="AB540" i="1"/>
  <c r="AA540" i="1"/>
  <c r="Z540" i="1"/>
  <c r="X540" i="1"/>
  <c r="W540" i="1"/>
  <c r="V540" i="1"/>
  <c r="AD540" i="1" s="1"/>
  <c r="AC539" i="1"/>
  <c r="AB539" i="1"/>
  <c r="AA539" i="1"/>
  <c r="Z539" i="1"/>
  <c r="Y539" i="1"/>
  <c r="X539" i="1"/>
  <c r="V539" i="1"/>
  <c r="W539" i="1" s="1"/>
  <c r="AC538" i="1"/>
  <c r="AD538" i="1" s="1"/>
  <c r="AB538" i="1"/>
  <c r="AA538" i="1"/>
  <c r="Z538" i="1"/>
  <c r="Y538" i="1"/>
  <c r="V538" i="1"/>
  <c r="W538" i="1" s="1"/>
  <c r="X538" i="1" s="1"/>
  <c r="AC537" i="1"/>
  <c r="AB537" i="1"/>
  <c r="AA537" i="1"/>
  <c r="Z537" i="1"/>
  <c r="W537" i="1"/>
  <c r="V537" i="1"/>
  <c r="AD537" i="1" s="1"/>
  <c r="AC536" i="1"/>
  <c r="AB536" i="1"/>
  <c r="AA536" i="1"/>
  <c r="Z536" i="1"/>
  <c r="W536" i="1"/>
  <c r="V536" i="1"/>
  <c r="AD536" i="1" s="1"/>
  <c r="AC535" i="1"/>
  <c r="AB535" i="1"/>
  <c r="AA535" i="1"/>
  <c r="Z535" i="1"/>
  <c r="V535" i="1"/>
  <c r="W535" i="1" s="1"/>
  <c r="X535" i="1" s="1"/>
  <c r="Y535" i="1" s="1"/>
  <c r="AC534" i="1"/>
  <c r="AD534" i="1" s="1"/>
  <c r="AB534" i="1"/>
  <c r="AA534" i="1"/>
  <c r="Z534" i="1"/>
  <c r="Y534" i="1"/>
  <c r="V534" i="1"/>
  <c r="W534" i="1" s="1"/>
  <c r="X534" i="1" s="1"/>
  <c r="AC533" i="1"/>
  <c r="AB533" i="1"/>
  <c r="AA533" i="1"/>
  <c r="Z533" i="1"/>
  <c r="V533" i="1"/>
  <c r="W533" i="1" s="1"/>
  <c r="AC532" i="1"/>
  <c r="AB532" i="1"/>
  <c r="AA532" i="1"/>
  <c r="Z532" i="1"/>
  <c r="X532" i="1"/>
  <c r="W532" i="1"/>
  <c r="V532" i="1"/>
  <c r="AD532" i="1" s="1"/>
  <c r="AC531" i="1"/>
  <c r="AB531" i="1"/>
  <c r="AA531" i="1"/>
  <c r="Z531" i="1"/>
  <c r="Y531" i="1"/>
  <c r="X531" i="1"/>
  <c r="V531" i="1"/>
  <c r="W531" i="1" s="1"/>
  <c r="AC530" i="1"/>
  <c r="AD530" i="1" s="1"/>
  <c r="AB530" i="1"/>
  <c r="AA530" i="1"/>
  <c r="Z530" i="1"/>
  <c r="Y530" i="1"/>
  <c r="V530" i="1"/>
  <c r="W530" i="1" s="1"/>
  <c r="X530" i="1" s="1"/>
  <c r="AC529" i="1"/>
  <c r="AB529" i="1"/>
  <c r="AA529" i="1"/>
  <c r="Z529" i="1"/>
  <c r="W529" i="1"/>
  <c r="V529" i="1"/>
  <c r="AD529" i="1" s="1"/>
  <c r="AC528" i="1"/>
  <c r="AB528" i="1"/>
  <c r="AA528" i="1"/>
  <c r="Z528" i="1"/>
  <c r="W528" i="1"/>
  <c r="V528" i="1"/>
  <c r="AD528" i="1" s="1"/>
  <c r="AC527" i="1"/>
  <c r="AB527" i="1"/>
  <c r="AA527" i="1"/>
  <c r="Z527" i="1"/>
  <c r="V527" i="1"/>
  <c r="W527" i="1" s="1"/>
  <c r="X527" i="1" s="1"/>
  <c r="Y527" i="1" s="1"/>
  <c r="AC526" i="1"/>
  <c r="AD526" i="1" s="1"/>
  <c r="AB526" i="1"/>
  <c r="AA526" i="1"/>
  <c r="Z526" i="1"/>
  <c r="Y526" i="1"/>
  <c r="V526" i="1"/>
  <c r="W526" i="1" s="1"/>
  <c r="X526" i="1" s="1"/>
  <c r="AC525" i="1"/>
  <c r="AB525" i="1"/>
  <c r="AA525" i="1"/>
  <c r="Z525" i="1"/>
  <c r="V525" i="1"/>
  <c r="W525" i="1" s="1"/>
  <c r="AC524" i="1"/>
  <c r="AB524" i="1"/>
  <c r="AA524" i="1"/>
  <c r="Z524" i="1"/>
  <c r="X524" i="1"/>
  <c r="W524" i="1"/>
  <c r="V524" i="1"/>
  <c r="AD524" i="1" s="1"/>
  <c r="AC523" i="1"/>
  <c r="AB523" i="1"/>
  <c r="AA523" i="1"/>
  <c r="Z523" i="1"/>
  <c r="Y523" i="1"/>
  <c r="X523" i="1"/>
  <c r="V523" i="1"/>
  <c r="W523" i="1" s="1"/>
  <c r="AC522" i="1"/>
  <c r="AD522" i="1" s="1"/>
  <c r="AB522" i="1"/>
  <c r="AA522" i="1"/>
  <c r="Z522" i="1"/>
  <c r="Y522" i="1"/>
  <c r="V522" i="1"/>
  <c r="W522" i="1" s="1"/>
  <c r="X522" i="1" s="1"/>
  <c r="AC521" i="1"/>
  <c r="AB521" i="1"/>
  <c r="AA521" i="1"/>
  <c r="Z521" i="1"/>
  <c r="V521" i="1"/>
  <c r="AC520" i="1"/>
  <c r="AB520" i="1"/>
  <c r="AA520" i="1"/>
  <c r="Z520" i="1"/>
  <c r="X520" i="1"/>
  <c r="W520" i="1"/>
  <c r="V520" i="1"/>
  <c r="AD520" i="1" s="1"/>
  <c r="AC519" i="1"/>
  <c r="AB519" i="1"/>
  <c r="AA519" i="1"/>
  <c r="Z519" i="1"/>
  <c r="Y519" i="1"/>
  <c r="X519" i="1"/>
  <c r="V519" i="1"/>
  <c r="W519" i="1" s="1"/>
  <c r="AC518" i="1"/>
  <c r="AD518" i="1" s="1"/>
  <c r="AB518" i="1"/>
  <c r="AA518" i="1"/>
  <c r="Z518" i="1"/>
  <c r="Y518" i="1"/>
  <c r="V518" i="1"/>
  <c r="W518" i="1" s="1"/>
  <c r="X518" i="1" s="1"/>
  <c r="AC517" i="1"/>
  <c r="AB517" i="1"/>
  <c r="AA517" i="1"/>
  <c r="Z517" i="1"/>
  <c r="V517" i="1"/>
  <c r="AC516" i="1"/>
  <c r="AB516" i="1"/>
  <c r="AA516" i="1"/>
  <c r="Z516" i="1"/>
  <c r="X516" i="1"/>
  <c r="W516" i="1"/>
  <c r="V516" i="1"/>
  <c r="AD516" i="1" s="1"/>
  <c r="AC515" i="1"/>
  <c r="AB515" i="1"/>
  <c r="AA515" i="1"/>
  <c r="Z515" i="1"/>
  <c r="Y515" i="1"/>
  <c r="X515" i="1"/>
  <c r="V515" i="1"/>
  <c r="W515" i="1" s="1"/>
  <c r="AC514" i="1"/>
  <c r="AD514" i="1" s="1"/>
  <c r="AB514" i="1"/>
  <c r="AA514" i="1"/>
  <c r="Z514" i="1"/>
  <c r="Y514" i="1"/>
  <c r="V514" i="1"/>
  <c r="W514" i="1" s="1"/>
  <c r="X514" i="1" s="1"/>
  <c r="AC513" i="1"/>
  <c r="AB513" i="1"/>
  <c r="AA513" i="1"/>
  <c r="Z513" i="1"/>
  <c r="V513" i="1"/>
  <c r="AD513" i="1" s="1"/>
  <c r="AC512" i="1"/>
  <c r="AB512" i="1"/>
  <c r="AA512" i="1"/>
  <c r="Z512" i="1"/>
  <c r="X512" i="1"/>
  <c r="W512" i="1"/>
  <c r="V512" i="1"/>
  <c r="AD512" i="1" s="1"/>
  <c r="AC511" i="1"/>
  <c r="AB511" i="1"/>
  <c r="AA511" i="1"/>
  <c r="Z511" i="1"/>
  <c r="Y511" i="1"/>
  <c r="X511" i="1"/>
  <c r="V511" i="1"/>
  <c r="W511" i="1" s="1"/>
  <c r="AC510" i="1"/>
  <c r="AD510" i="1" s="1"/>
  <c r="AB510" i="1"/>
  <c r="AA510" i="1"/>
  <c r="Z510" i="1"/>
  <c r="Y510" i="1"/>
  <c r="V510" i="1"/>
  <c r="W510" i="1" s="1"/>
  <c r="X510" i="1" s="1"/>
  <c r="AC509" i="1"/>
  <c r="AB509" i="1"/>
  <c r="AA509" i="1"/>
  <c r="Z509" i="1"/>
  <c r="V509" i="1"/>
  <c r="AC508" i="1"/>
  <c r="AB508" i="1"/>
  <c r="AA508" i="1"/>
  <c r="Z508" i="1"/>
  <c r="X508" i="1"/>
  <c r="W508" i="1"/>
  <c r="V508" i="1"/>
  <c r="AD508" i="1" s="1"/>
  <c r="AC507" i="1"/>
  <c r="AB507" i="1"/>
  <c r="AA507" i="1"/>
  <c r="Z507" i="1"/>
  <c r="Y507" i="1"/>
  <c r="X507" i="1"/>
  <c r="V507" i="1"/>
  <c r="W507" i="1" s="1"/>
  <c r="AC506" i="1"/>
  <c r="AD506" i="1" s="1"/>
  <c r="AB506" i="1"/>
  <c r="AA506" i="1"/>
  <c r="Z506" i="1"/>
  <c r="Y506" i="1"/>
  <c r="V506" i="1"/>
  <c r="W506" i="1" s="1"/>
  <c r="X506" i="1" s="1"/>
  <c r="AC505" i="1"/>
  <c r="AB505" i="1"/>
  <c r="AA505" i="1"/>
  <c r="Z505" i="1"/>
  <c r="V505" i="1"/>
  <c r="AC504" i="1"/>
  <c r="AB504" i="1"/>
  <c r="AA504" i="1"/>
  <c r="Z504" i="1"/>
  <c r="X504" i="1"/>
  <c r="W504" i="1"/>
  <c r="V504" i="1"/>
  <c r="AD504" i="1" s="1"/>
  <c r="AC503" i="1"/>
  <c r="AB503" i="1"/>
  <c r="AA503" i="1"/>
  <c r="Z503" i="1"/>
  <c r="Y503" i="1"/>
  <c r="X503" i="1"/>
  <c r="V503" i="1"/>
  <c r="W503" i="1" s="1"/>
  <c r="AC502" i="1"/>
  <c r="AD502" i="1" s="1"/>
  <c r="AB502" i="1"/>
  <c r="AA502" i="1"/>
  <c r="Z502" i="1"/>
  <c r="Y502" i="1"/>
  <c r="V502" i="1"/>
  <c r="W502" i="1" s="1"/>
  <c r="X502" i="1" s="1"/>
  <c r="AC501" i="1"/>
  <c r="AB501" i="1"/>
  <c r="AA501" i="1"/>
  <c r="Z501" i="1"/>
  <c r="V501" i="1"/>
  <c r="AC500" i="1"/>
  <c r="AB500" i="1"/>
  <c r="AA500" i="1"/>
  <c r="Z500" i="1"/>
  <c r="X500" i="1"/>
  <c r="W500" i="1"/>
  <c r="V500" i="1"/>
  <c r="AD500" i="1" s="1"/>
  <c r="AC499" i="1"/>
  <c r="AB499" i="1"/>
  <c r="AA499" i="1"/>
  <c r="Z499" i="1"/>
  <c r="Y499" i="1"/>
  <c r="X499" i="1"/>
  <c r="V499" i="1"/>
  <c r="W499" i="1" s="1"/>
  <c r="AC498" i="1"/>
  <c r="AD498" i="1" s="1"/>
  <c r="AB498" i="1"/>
  <c r="AA498" i="1"/>
  <c r="Z498" i="1"/>
  <c r="Y498" i="1"/>
  <c r="V498" i="1"/>
  <c r="W498" i="1" s="1"/>
  <c r="X498" i="1" s="1"/>
  <c r="AC497" i="1"/>
  <c r="AB497" i="1"/>
  <c r="AA497" i="1"/>
  <c r="Z497" i="1"/>
  <c r="V497" i="1"/>
  <c r="AD497" i="1" s="1"/>
  <c r="AC496" i="1"/>
  <c r="AB496" i="1"/>
  <c r="AA496" i="1"/>
  <c r="Z496" i="1"/>
  <c r="X496" i="1"/>
  <c r="W496" i="1"/>
  <c r="V496" i="1"/>
  <c r="AD496" i="1" s="1"/>
  <c r="AC495" i="1"/>
  <c r="AB495" i="1"/>
  <c r="AA495" i="1"/>
  <c r="Z495" i="1"/>
  <c r="Y495" i="1"/>
  <c r="X495" i="1"/>
  <c r="V495" i="1"/>
  <c r="W495" i="1" s="1"/>
  <c r="AC494" i="1"/>
  <c r="AD494" i="1" s="1"/>
  <c r="AB494" i="1"/>
  <c r="AA494" i="1"/>
  <c r="Z494" i="1"/>
  <c r="Y494" i="1"/>
  <c r="V494" i="1"/>
  <c r="W494" i="1" s="1"/>
  <c r="X494" i="1" s="1"/>
  <c r="AC493" i="1"/>
  <c r="AB493" i="1"/>
  <c r="AA493" i="1"/>
  <c r="Z493" i="1"/>
  <c r="V493" i="1"/>
  <c r="AC492" i="1"/>
  <c r="AB492" i="1"/>
  <c r="AA492" i="1"/>
  <c r="Z492" i="1"/>
  <c r="X492" i="1"/>
  <c r="W492" i="1"/>
  <c r="V492" i="1"/>
  <c r="AD492" i="1" s="1"/>
  <c r="AD491" i="1"/>
  <c r="AC491" i="1"/>
  <c r="AB491" i="1"/>
  <c r="AA491" i="1"/>
  <c r="Z491" i="1"/>
  <c r="V491" i="1"/>
  <c r="W491" i="1" s="1"/>
  <c r="AD490" i="1"/>
  <c r="AC490" i="1"/>
  <c r="AB490" i="1"/>
  <c r="AA490" i="1"/>
  <c r="Z490" i="1"/>
  <c r="V490" i="1"/>
  <c r="W490" i="1" s="1"/>
  <c r="AD489" i="1"/>
  <c r="AC489" i="1"/>
  <c r="AB489" i="1"/>
  <c r="AA489" i="1"/>
  <c r="Z489" i="1"/>
  <c r="V489" i="1"/>
  <c r="W489" i="1" s="1"/>
  <c r="AC488" i="1"/>
  <c r="AB488" i="1"/>
  <c r="AA488" i="1"/>
  <c r="Z488" i="1"/>
  <c r="Y488" i="1"/>
  <c r="X488" i="1"/>
  <c r="W488" i="1"/>
  <c r="V488" i="1"/>
  <c r="AD488" i="1" s="1"/>
  <c r="AC487" i="1"/>
  <c r="AB487" i="1"/>
  <c r="AA487" i="1"/>
  <c r="Z487" i="1"/>
  <c r="Y487" i="1"/>
  <c r="X487" i="1"/>
  <c r="V487" i="1"/>
  <c r="W487" i="1" s="1"/>
  <c r="AC486" i="1"/>
  <c r="AD486" i="1" s="1"/>
  <c r="AB486" i="1"/>
  <c r="AA486" i="1"/>
  <c r="Z486" i="1"/>
  <c r="Y486" i="1"/>
  <c r="V486" i="1"/>
  <c r="W486" i="1" s="1"/>
  <c r="X486" i="1" s="1"/>
  <c r="AC485" i="1"/>
  <c r="AB485" i="1"/>
  <c r="AA485" i="1"/>
  <c r="Z485" i="1"/>
  <c r="W485" i="1"/>
  <c r="V485" i="1"/>
  <c r="AD485" i="1" s="1"/>
  <c r="AC484" i="1"/>
  <c r="AB484" i="1"/>
  <c r="AA484" i="1"/>
  <c r="Z484" i="1"/>
  <c r="X484" i="1"/>
  <c r="W484" i="1"/>
  <c r="V484" i="1"/>
  <c r="AD484" i="1" s="1"/>
  <c r="AD483" i="1"/>
  <c r="AC483" i="1"/>
  <c r="AB483" i="1"/>
  <c r="AA483" i="1"/>
  <c r="Z483" i="1"/>
  <c r="V483" i="1"/>
  <c r="W483" i="1" s="1"/>
  <c r="AD482" i="1"/>
  <c r="AC482" i="1"/>
  <c r="AB482" i="1"/>
  <c r="AA482" i="1"/>
  <c r="Z482" i="1"/>
  <c r="V482" i="1"/>
  <c r="W482" i="1" s="1"/>
  <c r="AC481" i="1"/>
  <c r="AB481" i="1"/>
  <c r="AA481" i="1"/>
  <c r="Z481" i="1"/>
  <c r="V481" i="1"/>
  <c r="W481" i="1" s="1"/>
  <c r="AC480" i="1"/>
  <c r="AB480" i="1"/>
  <c r="AA480" i="1"/>
  <c r="Z480" i="1"/>
  <c r="Y480" i="1"/>
  <c r="X480" i="1"/>
  <c r="W480" i="1"/>
  <c r="V480" i="1"/>
  <c r="AD480" i="1" s="1"/>
  <c r="AC479" i="1"/>
  <c r="AB479" i="1"/>
  <c r="AA479" i="1"/>
  <c r="Z479" i="1"/>
  <c r="Y479" i="1"/>
  <c r="X479" i="1"/>
  <c r="V479" i="1"/>
  <c r="W479" i="1" s="1"/>
  <c r="AC478" i="1"/>
  <c r="AD478" i="1" s="1"/>
  <c r="AB478" i="1"/>
  <c r="AA478" i="1"/>
  <c r="Z478" i="1"/>
  <c r="Y478" i="1"/>
  <c r="V478" i="1"/>
  <c r="W478" i="1" s="1"/>
  <c r="X478" i="1" s="1"/>
  <c r="AC477" i="1"/>
  <c r="AB477" i="1"/>
  <c r="AA477" i="1"/>
  <c r="Z477" i="1"/>
  <c r="V477" i="1"/>
  <c r="AC476" i="1"/>
  <c r="AB476" i="1"/>
  <c r="AA476" i="1"/>
  <c r="Z476" i="1"/>
  <c r="X476" i="1"/>
  <c r="W476" i="1"/>
  <c r="V476" i="1"/>
  <c r="AD475" i="1"/>
  <c r="AC475" i="1"/>
  <c r="AB475" i="1"/>
  <c r="AA475" i="1"/>
  <c r="Z475" i="1"/>
  <c r="V475" i="1"/>
  <c r="W475" i="1" s="1"/>
  <c r="X475" i="1" s="1"/>
  <c r="Y475" i="1" s="1"/>
  <c r="AD474" i="1"/>
  <c r="AC474" i="1"/>
  <c r="AB474" i="1"/>
  <c r="AA474" i="1"/>
  <c r="Z474" i="1"/>
  <c r="V474" i="1"/>
  <c r="W474" i="1" s="1"/>
  <c r="AD473" i="1"/>
  <c r="AC473" i="1"/>
  <c r="AB473" i="1"/>
  <c r="AA473" i="1"/>
  <c r="Z473" i="1"/>
  <c r="V473" i="1"/>
  <c r="W473" i="1" s="1"/>
  <c r="AC472" i="1"/>
  <c r="AB472" i="1"/>
  <c r="AA472" i="1"/>
  <c r="Z472" i="1"/>
  <c r="Y472" i="1"/>
  <c r="X472" i="1"/>
  <c r="W472" i="1"/>
  <c r="V472" i="1"/>
  <c r="AD472" i="1" s="1"/>
  <c r="AC471" i="1"/>
  <c r="AB471" i="1"/>
  <c r="AA471" i="1"/>
  <c r="Z471" i="1"/>
  <c r="Y471" i="1"/>
  <c r="X471" i="1"/>
  <c r="V471" i="1"/>
  <c r="W471" i="1" s="1"/>
  <c r="AC470" i="1"/>
  <c r="AB470" i="1"/>
  <c r="AA470" i="1"/>
  <c r="Z470" i="1"/>
  <c r="Y470" i="1"/>
  <c r="V470" i="1"/>
  <c r="W470" i="1" s="1"/>
  <c r="X470" i="1" s="1"/>
  <c r="AC469" i="1"/>
  <c r="AB469" i="1"/>
  <c r="AA469" i="1"/>
  <c r="Z469" i="1"/>
  <c r="W469" i="1"/>
  <c r="V469" i="1"/>
  <c r="AD469" i="1" s="1"/>
  <c r="AC468" i="1"/>
  <c r="AB468" i="1"/>
  <c r="AA468" i="1"/>
  <c r="Z468" i="1"/>
  <c r="X468" i="1"/>
  <c r="W468" i="1"/>
  <c r="V468" i="1"/>
  <c r="AD468" i="1" s="1"/>
  <c r="AD467" i="1"/>
  <c r="AC467" i="1"/>
  <c r="AB467" i="1"/>
  <c r="AA467" i="1"/>
  <c r="Z467" i="1"/>
  <c r="V467" i="1"/>
  <c r="W467" i="1" s="1"/>
  <c r="AD466" i="1"/>
  <c r="AC466" i="1"/>
  <c r="AB466" i="1"/>
  <c r="AA466" i="1"/>
  <c r="Z466" i="1"/>
  <c r="V466" i="1"/>
  <c r="W466" i="1" s="1"/>
  <c r="AC465" i="1"/>
  <c r="AB465" i="1"/>
  <c r="AA465" i="1"/>
  <c r="Z465" i="1"/>
  <c r="V465" i="1"/>
  <c r="W465" i="1" s="1"/>
  <c r="AC464" i="1"/>
  <c r="AB464" i="1"/>
  <c r="AA464" i="1"/>
  <c r="Z464" i="1"/>
  <c r="Y464" i="1"/>
  <c r="X464" i="1"/>
  <c r="W464" i="1"/>
  <c r="V464" i="1"/>
  <c r="AD464" i="1" s="1"/>
  <c r="AC463" i="1"/>
  <c r="AB463" i="1"/>
  <c r="AA463" i="1"/>
  <c r="Z463" i="1"/>
  <c r="Y463" i="1"/>
  <c r="X463" i="1"/>
  <c r="V463" i="1"/>
  <c r="W463" i="1" s="1"/>
  <c r="AC462" i="1"/>
  <c r="AD462" i="1" s="1"/>
  <c r="AB462" i="1"/>
  <c r="AA462" i="1"/>
  <c r="Z462" i="1"/>
  <c r="Y462" i="1"/>
  <c r="V462" i="1"/>
  <c r="W462" i="1" s="1"/>
  <c r="X462" i="1" s="1"/>
  <c r="AC461" i="1"/>
  <c r="AB461" i="1"/>
  <c r="AA461" i="1"/>
  <c r="Z461" i="1"/>
  <c r="V461" i="1"/>
  <c r="AC460" i="1"/>
  <c r="AB460" i="1"/>
  <c r="AA460" i="1"/>
  <c r="Z460" i="1"/>
  <c r="X460" i="1"/>
  <c r="W460" i="1"/>
  <c r="V460" i="1"/>
  <c r="AD459" i="1"/>
  <c r="AC459" i="1"/>
  <c r="AB459" i="1"/>
  <c r="AA459" i="1"/>
  <c r="Z459" i="1"/>
  <c r="V459" i="1"/>
  <c r="W459" i="1" s="1"/>
  <c r="X459" i="1" s="1"/>
  <c r="Y459" i="1" s="1"/>
  <c r="AD458" i="1"/>
  <c r="AC458" i="1"/>
  <c r="AB458" i="1"/>
  <c r="AA458" i="1"/>
  <c r="Z458" i="1"/>
  <c r="V458" i="1"/>
  <c r="W458" i="1" s="1"/>
  <c r="AD457" i="1"/>
  <c r="AC457" i="1"/>
  <c r="AB457" i="1"/>
  <c r="AA457" i="1"/>
  <c r="Z457" i="1"/>
  <c r="V457" i="1"/>
  <c r="W457" i="1" s="1"/>
  <c r="AC456" i="1"/>
  <c r="AB456" i="1"/>
  <c r="AA456" i="1"/>
  <c r="Z456" i="1"/>
  <c r="Y456" i="1"/>
  <c r="X456" i="1"/>
  <c r="W456" i="1"/>
  <c r="V456" i="1"/>
  <c r="AD456" i="1" s="1"/>
  <c r="AC455" i="1"/>
  <c r="AB455" i="1"/>
  <c r="AA455" i="1"/>
  <c r="Z455" i="1"/>
  <c r="Y455" i="1"/>
  <c r="X455" i="1"/>
  <c r="V455" i="1"/>
  <c r="W455" i="1" s="1"/>
  <c r="AC454" i="1"/>
  <c r="AB454" i="1"/>
  <c r="AA454" i="1"/>
  <c r="Z454" i="1"/>
  <c r="Y454" i="1"/>
  <c r="V454" i="1"/>
  <c r="W454" i="1" s="1"/>
  <c r="X454" i="1" s="1"/>
  <c r="AC453" i="1"/>
  <c r="AB453" i="1"/>
  <c r="AA453" i="1"/>
  <c r="Z453" i="1"/>
  <c r="W453" i="1"/>
  <c r="V453" i="1"/>
  <c r="AD453" i="1" s="1"/>
  <c r="AC452" i="1"/>
  <c r="AB452" i="1"/>
  <c r="AA452" i="1"/>
  <c r="Z452" i="1"/>
  <c r="X452" i="1"/>
  <c r="W452" i="1"/>
  <c r="V452" i="1"/>
  <c r="AD452" i="1" s="1"/>
  <c r="AC451" i="1"/>
  <c r="AB451" i="1"/>
  <c r="AA451" i="1"/>
  <c r="Z451" i="1"/>
  <c r="V451" i="1"/>
  <c r="AD450" i="1"/>
  <c r="AC450" i="1"/>
  <c r="AB450" i="1"/>
  <c r="AA450" i="1"/>
  <c r="Z450" i="1"/>
  <c r="Y450" i="1"/>
  <c r="V450" i="1"/>
  <c r="W450" i="1" s="1"/>
  <c r="X450" i="1" s="1"/>
  <c r="AD449" i="1"/>
  <c r="AC449" i="1"/>
  <c r="AB449" i="1"/>
  <c r="AA449" i="1"/>
  <c r="Z449" i="1"/>
  <c r="X449" i="1"/>
  <c r="V449" i="1"/>
  <c r="W449" i="1" s="1"/>
  <c r="AC448" i="1"/>
  <c r="AB448" i="1"/>
  <c r="AA448" i="1"/>
  <c r="Z448" i="1"/>
  <c r="X448" i="1"/>
  <c r="Y448" i="1" s="1"/>
  <c r="W448" i="1"/>
  <c r="V448" i="1"/>
  <c r="AD448" i="1" s="1"/>
  <c r="AC447" i="1"/>
  <c r="AB447" i="1"/>
  <c r="AA447" i="1"/>
  <c r="Z447" i="1"/>
  <c r="Y447" i="1"/>
  <c r="V447" i="1"/>
  <c r="W447" i="1" s="1"/>
  <c r="X447" i="1" s="1"/>
  <c r="AC446" i="1"/>
  <c r="AB446" i="1"/>
  <c r="AA446" i="1"/>
  <c r="Z446" i="1"/>
  <c r="V446" i="1"/>
  <c r="W446" i="1" s="1"/>
  <c r="X446" i="1" s="1"/>
  <c r="AD445" i="1"/>
  <c r="AC445" i="1"/>
  <c r="AB445" i="1"/>
  <c r="AA445" i="1"/>
  <c r="Z445" i="1"/>
  <c r="V445" i="1"/>
  <c r="W445" i="1" s="1"/>
  <c r="AC444" i="1"/>
  <c r="AB444" i="1"/>
  <c r="AA444" i="1"/>
  <c r="Z444" i="1"/>
  <c r="Y444" i="1"/>
  <c r="X444" i="1"/>
  <c r="W444" i="1"/>
  <c r="V444" i="1"/>
  <c r="AD443" i="1"/>
  <c r="AC443" i="1"/>
  <c r="AB443" i="1"/>
  <c r="AA443" i="1"/>
  <c r="Z443" i="1"/>
  <c r="Y443" i="1"/>
  <c r="V443" i="1"/>
  <c r="W443" i="1" s="1"/>
  <c r="X443" i="1" s="1"/>
  <c r="AC442" i="1"/>
  <c r="AB442" i="1"/>
  <c r="AA442" i="1"/>
  <c r="Z442" i="1"/>
  <c r="V442" i="1"/>
  <c r="AC441" i="1"/>
  <c r="AB441" i="1"/>
  <c r="AA441" i="1"/>
  <c r="Z441" i="1"/>
  <c r="V441" i="1"/>
  <c r="AC440" i="1"/>
  <c r="AB440" i="1"/>
  <c r="AA440" i="1"/>
  <c r="Z440" i="1"/>
  <c r="Y440" i="1"/>
  <c r="X440" i="1"/>
  <c r="W440" i="1"/>
  <c r="V440" i="1"/>
  <c r="AD440" i="1" s="1"/>
  <c r="AD439" i="1"/>
  <c r="AC439" i="1"/>
  <c r="AB439" i="1"/>
  <c r="AA439" i="1"/>
  <c r="Z439" i="1"/>
  <c r="Y439" i="1"/>
  <c r="V439" i="1"/>
  <c r="W439" i="1" s="1"/>
  <c r="X439" i="1" s="1"/>
  <c r="AD438" i="1"/>
  <c r="AC438" i="1"/>
  <c r="AB438" i="1"/>
  <c r="AA438" i="1"/>
  <c r="Z438" i="1"/>
  <c r="Y438" i="1"/>
  <c r="V438" i="1"/>
  <c r="W438" i="1" s="1"/>
  <c r="X438" i="1" s="1"/>
  <c r="AC437" i="1"/>
  <c r="AB437" i="1"/>
  <c r="AA437" i="1"/>
  <c r="Z437" i="1"/>
  <c r="X437" i="1"/>
  <c r="V437" i="1"/>
  <c r="W437" i="1" s="1"/>
  <c r="AC436" i="1"/>
  <c r="AB436" i="1"/>
  <c r="AA436" i="1"/>
  <c r="Z436" i="1"/>
  <c r="Y436" i="1"/>
  <c r="X436" i="1"/>
  <c r="W436" i="1"/>
  <c r="V436" i="1"/>
  <c r="AD436" i="1" s="1"/>
  <c r="AC435" i="1"/>
  <c r="AB435" i="1"/>
  <c r="AA435" i="1"/>
  <c r="Z435" i="1"/>
  <c r="V435" i="1"/>
  <c r="W435" i="1" s="1"/>
  <c r="X435" i="1" s="1"/>
  <c r="AD434" i="1"/>
  <c r="AC434" i="1"/>
  <c r="AB434" i="1"/>
  <c r="AA434" i="1"/>
  <c r="Z434" i="1"/>
  <c r="V434" i="1"/>
  <c r="W434" i="1" s="1"/>
  <c r="X434" i="1" s="1"/>
  <c r="AD433" i="1"/>
  <c r="AC433" i="1"/>
  <c r="AB433" i="1"/>
  <c r="AA433" i="1"/>
  <c r="Z433" i="1"/>
  <c r="X433" i="1"/>
  <c r="V433" i="1"/>
  <c r="W433" i="1" s="1"/>
  <c r="AC432" i="1"/>
  <c r="AB432" i="1"/>
  <c r="AA432" i="1"/>
  <c r="Z432" i="1"/>
  <c r="X432" i="1"/>
  <c r="Y432" i="1" s="1"/>
  <c r="W432" i="1"/>
  <c r="V432" i="1"/>
  <c r="AC431" i="1"/>
  <c r="AB431" i="1"/>
  <c r="AA431" i="1"/>
  <c r="Z431" i="1"/>
  <c r="V431" i="1"/>
  <c r="AC430" i="1"/>
  <c r="AB430" i="1"/>
  <c r="AA430" i="1"/>
  <c r="Z430" i="1"/>
  <c r="V430" i="1"/>
  <c r="AD429" i="1"/>
  <c r="AC429" i="1"/>
  <c r="AB429" i="1"/>
  <c r="AA429" i="1"/>
  <c r="Z429" i="1"/>
  <c r="X429" i="1"/>
  <c r="V429" i="1"/>
  <c r="W429" i="1" s="1"/>
  <c r="AC428" i="1"/>
  <c r="AB428" i="1"/>
  <c r="AA428" i="1"/>
  <c r="Z428" i="1"/>
  <c r="Y428" i="1"/>
  <c r="X428" i="1"/>
  <c r="W428" i="1"/>
  <c r="V428" i="1"/>
  <c r="AD427" i="1"/>
  <c r="AC427" i="1"/>
  <c r="AB427" i="1"/>
  <c r="AA427" i="1"/>
  <c r="Z427" i="1"/>
  <c r="Y427" i="1"/>
  <c r="V427" i="1"/>
  <c r="W427" i="1" s="1"/>
  <c r="X427" i="1" s="1"/>
  <c r="AC426" i="1"/>
  <c r="AB426" i="1"/>
  <c r="AA426" i="1"/>
  <c r="Z426" i="1"/>
  <c r="Y426" i="1"/>
  <c r="V426" i="1"/>
  <c r="W426" i="1" s="1"/>
  <c r="X426" i="1" s="1"/>
  <c r="AC425" i="1"/>
  <c r="AB425" i="1"/>
  <c r="AA425" i="1"/>
  <c r="Z425" i="1"/>
  <c r="V425" i="1"/>
  <c r="W425" i="1" s="1"/>
  <c r="AC424" i="1"/>
  <c r="AB424" i="1"/>
  <c r="AA424" i="1"/>
  <c r="Z424" i="1"/>
  <c r="V424" i="1"/>
  <c r="AD423" i="1"/>
  <c r="AC423" i="1"/>
  <c r="AB423" i="1"/>
  <c r="AA423" i="1"/>
  <c r="Z423" i="1"/>
  <c r="V423" i="1"/>
  <c r="W423" i="1" s="1"/>
  <c r="AD422" i="1"/>
  <c r="AC422" i="1"/>
  <c r="AB422" i="1"/>
  <c r="AA422" i="1"/>
  <c r="Z422" i="1"/>
  <c r="V422" i="1"/>
  <c r="W422" i="1" s="1"/>
  <c r="AC421" i="1"/>
  <c r="AB421" i="1"/>
  <c r="AA421" i="1"/>
  <c r="Z421" i="1"/>
  <c r="Y421" i="1"/>
  <c r="X421" i="1"/>
  <c r="W421" i="1"/>
  <c r="V421" i="1"/>
  <c r="AD421" i="1" s="1"/>
  <c r="AC420" i="1"/>
  <c r="AB420" i="1"/>
  <c r="AA420" i="1"/>
  <c r="Z420" i="1"/>
  <c r="Y420" i="1"/>
  <c r="X420" i="1"/>
  <c r="V420" i="1"/>
  <c r="W420" i="1" s="1"/>
  <c r="AC419" i="1"/>
  <c r="AB419" i="1"/>
  <c r="AA419" i="1"/>
  <c r="Z419" i="1"/>
  <c r="V419" i="1"/>
  <c r="AC418" i="1"/>
  <c r="AB418" i="1"/>
  <c r="AA418" i="1"/>
  <c r="Z418" i="1"/>
  <c r="V418" i="1"/>
  <c r="AC417" i="1"/>
  <c r="AB417" i="1"/>
  <c r="AA417" i="1"/>
  <c r="Z417" i="1"/>
  <c r="X417" i="1"/>
  <c r="W417" i="1"/>
  <c r="V417" i="1"/>
  <c r="AC416" i="1"/>
  <c r="AD416" i="1" s="1"/>
  <c r="AB416" i="1"/>
  <c r="AA416" i="1"/>
  <c r="Z416" i="1"/>
  <c r="Y416" i="1"/>
  <c r="X416" i="1"/>
  <c r="V416" i="1"/>
  <c r="W416" i="1" s="1"/>
  <c r="AC415" i="1"/>
  <c r="AD415" i="1" s="1"/>
  <c r="AB415" i="1"/>
  <c r="AA415" i="1"/>
  <c r="Z415" i="1"/>
  <c r="Y415" i="1"/>
  <c r="W415" i="1"/>
  <c r="X415" i="1" s="1"/>
  <c r="V415" i="1"/>
  <c r="AD414" i="1"/>
  <c r="AC414" i="1"/>
  <c r="AB414" i="1"/>
  <c r="AA414" i="1"/>
  <c r="Z414" i="1"/>
  <c r="X414" i="1"/>
  <c r="W414" i="1"/>
  <c r="V414" i="1"/>
  <c r="AC413" i="1"/>
  <c r="AB413" i="1"/>
  <c r="AA413" i="1"/>
  <c r="Z413" i="1"/>
  <c r="Y413" i="1"/>
  <c r="X413" i="1"/>
  <c r="W413" i="1"/>
  <c r="V413" i="1"/>
  <c r="AD413" i="1" s="1"/>
  <c r="AC412" i="1"/>
  <c r="AB412" i="1"/>
  <c r="AA412" i="1"/>
  <c r="Z412" i="1"/>
  <c r="Y412" i="1"/>
  <c r="X412" i="1"/>
  <c r="V412" i="1"/>
  <c r="W412" i="1" s="1"/>
  <c r="AC411" i="1"/>
  <c r="AB411" i="1"/>
  <c r="AA411" i="1"/>
  <c r="Z411" i="1"/>
  <c r="Y411" i="1"/>
  <c r="V411" i="1"/>
  <c r="W411" i="1" s="1"/>
  <c r="X411" i="1" s="1"/>
  <c r="AC410" i="1"/>
  <c r="AB410" i="1"/>
  <c r="AA410" i="1"/>
  <c r="Z410" i="1"/>
  <c r="V410" i="1"/>
  <c r="W410" i="1" s="1"/>
  <c r="AC409" i="1"/>
  <c r="AB409" i="1"/>
  <c r="AA409" i="1"/>
  <c r="Z409" i="1"/>
  <c r="X409" i="1"/>
  <c r="W409" i="1"/>
  <c r="V409" i="1"/>
  <c r="AD408" i="1"/>
  <c r="AC408" i="1"/>
  <c r="AB408" i="1"/>
  <c r="AA408" i="1"/>
  <c r="Z408" i="1"/>
  <c r="V408" i="1"/>
  <c r="W408" i="1" s="1"/>
  <c r="X408" i="1" s="1"/>
  <c r="Y408" i="1" s="1"/>
  <c r="AD407" i="1"/>
  <c r="AC407" i="1"/>
  <c r="AB407" i="1"/>
  <c r="AA407" i="1"/>
  <c r="Z407" i="1"/>
  <c r="V407" i="1"/>
  <c r="W407" i="1" s="1"/>
  <c r="X407" i="1" s="1"/>
  <c r="AD406" i="1"/>
  <c r="AC406" i="1"/>
  <c r="AB406" i="1"/>
  <c r="AA406" i="1"/>
  <c r="Z406" i="1"/>
  <c r="X406" i="1"/>
  <c r="V406" i="1"/>
  <c r="W406" i="1" s="1"/>
  <c r="AC405" i="1"/>
  <c r="AB405" i="1"/>
  <c r="AA405" i="1"/>
  <c r="Z405" i="1"/>
  <c r="X405" i="1"/>
  <c r="Y405" i="1" s="1"/>
  <c r="W405" i="1"/>
  <c r="V405" i="1"/>
  <c r="AD405" i="1" s="1"/>
  <c r="AC404" i="1"/>
  <c r="AB404" i="1"/>
  <c r="AA404" i="1"/>
  <c r="Z404" i="1"/>
  <c r="X404" i="1"/>
  <c r="Y404" i="1" s="1"/>
  <c r="V404" i="1"/>
  <c r="W404" i="1" s="1"/>
  <c r="AC403" i="1"/>
  <c r="AB403" i="1"/>
  <c r="AA403" i="1"/>
  <c r="Z403" i="1"/>
  <c r="V403" i="1"/>
  <c r="AC402" i="1"/>
  <c r="AB402" i="1"/>
  <c r="AA402" i="1"/>
  <c r="Z402" i="1"/>
  <c r="V402" i="1"/>
  <c r="AC401" i="1"/>
  <c r="AB401" i="1"/>
  <c r="AA401" i="1"/>
  <c r="Z401" i="1"/>
  <c r="X401" i="1"/>
  <c r="W401" i="1"/>
  <c r="V401" i="1"/>
  <c r="AC400" i="1"/>
  <c r="AD400" i="1" s="1"/>
  <c r="AB400" i="1"/>
  <c r="AA400" i="1"/>
  <c r="Z400" i="1"/>
  <c r="Y400" i="1"/>
  <c r="X400" i="1"/>
  <c r="V400" i="1"/>
  <c r="W400" i="1" s="1"/>
  <c r="AC399" i="1"/>
  <c r="AD399" i="1" s="1"/>
  <c r="AB399" i="1"/>
  <c r="AA399" i="1"/>
  <c r="Z399" i="1"/>
  <c r="Y399" i="1"/>
  <c r="W399" i="1"/>
  <c r="X399" i="1" s="1"/>
  <c r="V399" i="1"/>
  <c r="AD398" i="1"/>
  <c r="AC398" i="1"/>
  <c r="AB398" i="1"/>
  <c r="AA398" i="1"/>
  <c r="Z398" i="1"/>
  <c r="X398" i="1"/>
  <c r="W398" i="1"/>
  <c r="V398" i="1"/>
  <c r="AC397" i="1"/>
  <c r="AB397" i="1"/>
  <c r="AA397" i="1"/>
  <c r="Z397" i="1"/>
  <c r="Y397" i="1"/>
  <c r="X397" i="1"/>
  <c r="W397" i="1"/>
  <c r="V397" i="1"/>
  <c r="AD397" i="1" s="1"/>
  <c r="AC396" i="1"/>
  <c r="AB396" i="1"/>
  <c r="AA396" i="1"/>
  <c r="Z396" i="1"/>
  <c r="Y396" i="1"/>
  <c r="X396" i="1"/>
  <c r="V396" i="1"/>
  <c r="W396" i="1" s="1"/>
  <c r="AC395" i="1"/>
  <c r="AB395" i="1"/>
  <c r="AA395" i="1"/>
  <c r="Z395" i="1"/>
  <c r="Y395" i="1"/>
  <c r="V395" i="1"/>
  <c r="W395" i="1" s="1"/>
  <c r="X395" i="1" s="1"/>
  <c r="AC394" i="1"/>
  <c r="AB394" i="1"/>
  <c r="AA394" i="1"/>
  <c r="Z394" i="1"/>
  <c r="V394" i="1"/>
  <c r="W394" i="1" s="1"/>
  <c r="AC393" i="1"/>
  <c r="AB393" i="1"/>
  <c r="AA393" i="1"/>
  <c r="Z393" i="1"/>
  <c r="X393" i="1"/>
  <c r="W393" i="1"/>
  <c r="V393" i="1"/>
  <c r="AD392" i="1"/>
  <c r="AC392" i="1"/>
  <c r="AB392" i="1"/>
  <c r="AA392" i="1"/>
  <c r="Z392" i="1"/>
  <c r="V392" i="1"/>
  <c r="W392" i="1" s="1"/>
  <c r="X392" i="1" s="1"/>
  <c r="Y392" i="1" s="1"/>
  <c r="AD391" i="1"/>
  <c r="AC391" i="1"/>
  <c r="AB391" i="1"/>
  <c r="AA391" i="1"/>
  <c r="Z391" i="1"/>
  <c r="Y391" i="1"/>
  <c r="V391" i="1"/>
  <c r="W391" i="1" s="1"/>
  <c r="X391" i="1" s="1"/>
  <c r="AD390" i="1"/>
  <c r="AC390" i="1"/>
  <c r="AB390" i="1"/>
  <c r="AA390" i="1"/>
  <c r="Z390" i="1"/>
  <c r="X390" i="1"/>
  <c r="V390" i="1"/>
  <c r="W390" i="1" s="1"/>
  <c r="AC389" i="1"/>
  <c r="AB389" i="1"/>
  <c r="AA389" i="1"/>
  <c r="Z389" i="1"/>
  <c r="Y389" i="1"/>
  <c r="V389" i="1"/>
  <c r="W389" i="1" s="1"/>
  <c r="X389" i="1" s="1"/>
  <c r="AC388" i="1"/>
  <c r="AB388" i="1"/>
  <c r="AA388" i="1"/>
  <c r="Z388" i="1"/>
  <c r="W388" i="1"/>
  <c r="V388" i="1"/>
  <c r="AD388" i="1" s="1"/>
  <c r="AC387" i="1"/>
  <c r="AB387" i="1"/>
  <c r="AA387" i="1"/>
  <c r="Z387" i="1"/>
  <c r="X387" i="1"/>
  <c r="W387" i="1"/>
  <c r="Y387" i="1" s="1"/>
  <c r="V387" i="1"/>
  <c r="AD387" i="1" s="1"/>
  <c r="AC386" i="1"/>
  <c r="AB386" i="1"/>
  <c r="AA386" i="1"/>
  <c r="Z386" i="1"/>
  <c r="Y386" i="1"/>
  <c r="X386" i="1"/>
  <c r="W386" i="1"/>
  <c r="V386" i="1"/>
  <c r="AD386" i="1" s="1"/>
  <c r="AC385" i="1"/>
  <c r="AB385" i="1"/>
  <c r="AA385" i="1"/>
  <c r="Z385" i="1"/>
  <c r="Y385" i="1"/>
  <c r="X385" i="1"/>
  <c r="W385" i="1"/>
  <c r="V385" i="1"/>
  <c r="AC384" i="1"/>
  <c r="AD384" i="1" s="1"/>
  <c r="AB384" i="1"/>
  <c r="AA384" i="1"/>
  <c r="Z384" i="1"/>
  <c r="Y384" i="1"/>
  <c r="X384" i="1"/>
  <c r="V384" i="1"/>
  <c r="W384" i="1" s="1"/>
  <c r="AC383" i="1"/>
  <c r="AD383" i="1" s="1"/>
  <c r="AB383" i="1"/>
  <c r="AA383" i="1"/>
  <c r="Z383" i="1"/>
  <c r="Y383" i="1"/>
  <c r="W383" i="1"/>
  <c r="X383" i="1" s="1"/>
  <c r="V383" i="1"/>
  <c r="AC382" i="1"/>
  <c r="AD382" i="1" s="1"/>
  <c r="AB382" i="1"/>
  <c r="AA382" i="1"/>
  <c r="Z382" i="1"/>
  <c r="X382" i="1"/>
  <c r="W382" i="1"/>
  <c r="V382" i="1"/>
  <c r="AC381" i="1"/>
  <c r="AD381" i="1" s="1"/>
  <c r="AB381" i="1"/>
  <c r="AA381" i="1"/>
  <c r="Z381" i="1"/>
  <c r="V381" i="1"/>
  <c r="W381" i="1" s="1"/>
  <c r="AD380" i="1"/>
  <c r="AC380" i="1"/>
  <c r="AB380" i="1"/>
  <c r="AA380" i="1"/>
  <c r="Z380" i="1"/>
  <c r="W380" i="1"/>
  <c r="V380" i="1"/>
  <c r="AC379" i="1"/>
  <c r="AB379" i="1"/>
  <c r="AA379" i="1"/>
  <c r="Z379" i="1"/>
  <c r="X379" i="1"/>
  <c r="W379" i="1"/>
  <c r="V379" i="1"/>
  <c r="AD379" i="1" s="1"/>
  <c r="AC378" i="1"/>
  <c r="AB378" i="1"/>
  <c r="AA378" i="1"/>
  <c r="Z378" i="1"/>
  <c r="X378" i="1"/>
  <c r="Y378" i="1" s="1"/>
  <c r="V378" i="1"/>
  <c r="W378" i="1" s="1"/>
  <c r="AC377" i="1"/>
  <c r="AB377" i="1"/>
  <c r="AA377" i="1"/>
  <c r="Z377" i="1"/>
  <c r="X377" i="1"/>
  <c r="Y377" i="1" s="1"/>
  <c r="W377" i="1"/>
  <c r="V377" i="1"/>
  <c r="AD376" i="1"/>
  <c r="AC376" i="1"/>
  <c r="AB376" i="1"/>
  <c r="AA376" i="1"/>
  <c r="Z376" i="1"/>
  <c r="V376" i="1"/>
  <c r="W376" i="1" s="1"/>
  <c r="X376" i="1" s="1"/>
  <c r="Y376" i="1" s="1"/>
  <c r="AC375" i="1"/>
  <c r="AB375" i="1"/>
  <c r="AA375" i="1"/>
  <c r="Z375" i="1"/>
  <c r="V375" i="1"/>
  <c r="W375" i="1" s="1"/>
  <c r="AC374" i="1"/>
  <c r="AB374" i="1"/>
  <c r="AA374" i="1"/>
  <c r="Z374" i="1"/>
  <c r="W374" i="1"/>
  <c r="V374" i="1"/>
  <c r="AD374" i="1" s="1"/>
  <c r="AC373" i="1"/>
  <c r="AB373" i="1"/>
  <c r="AA373" i="1"/>
  <c r="Z373" i="1"/>
  <c r="X373" i="1"/>
  <c r="W373" i="1"/>
  <c r="Y373" i="1" s="1"/>
  <c r="V373" i="1"/>
  <c r="AD373" i="1" s="1"/>
  <c r="AC372" i="1"/>
  <c r="AB372" i="1"/>
  <c r="AA372" i="1"/>
  <c r="Z372" i="1"/>
  <c r="Y372" i="1"/>
  <c r="X372" i="1"/>
  <c r="W372" i="1"/>
  <c r="V372" i="1"/>
  <c r="AC371" i="1"/>
  <c r="AB371" i="1"/>
  <c r="AA371" i="1"/>
  <c r="Z371" i="1"/>
  <c r="V371" i="1"/>
  <c r="W371" i="1" s="1"/>
  <c r="AC370" i="1"/>
  <c r="AB370" i="1"/>
  <c r="AA370" i="1"/>
  <c r="Z370" i="1"/>
  <c r="V370" i="1"/>
  <c r="AD370" i="1" s="1"/>
  <c r="AC369" i="1"/>
  <c r="AB369" i="1"/>
  <c r="AA369" i="1"/>
  <c r="Z369" i="1"/>
  <c r="W369" i="1"/>
  <c r="V369" i="1"/>
  <c r="AD369" i="1" s="1"/>
  <c r="AC368" i="1"/>
  <c r="AB368" i="1"/>
  <c r="AA368" i="1"/>
  <c r="Z368" i="1"/>
  <c r="V368" i="1"/>
  <c r="W368" i="1" s="1"/>
  <c r="AC367" i="1"/>
  <c r="AB367" i="1"/>
  <c r="AA367" i="1"/>
  <c r="Z367" i="1"/>
  <c r="V367" i="1"/>
  <c r="W367" i="1" s="1"/>
  <c r="X367" i="1" s="1"/>
  <c r="AC366" i="1"/>
  <c r="AB366" i="1"/>
  <c r="AA366" i="1"/>
  <c r="Z366" i="1"/>
  <c r="W366" i="1"/>
  <c r="V366" i="1"/>
  <c r="AD366" i="1" s="1"/>
  <c r="AC365" i="1"/>
  <c r="AB365" i="1"/>
  <c r="AA365" i="1"/>
  <c r="Z365" i="1"/>
  <c r="X365" i="1"/>
  <c r="W365" i="1"/>
  <c r="Y365" i="1" s="1"/>
  <c r="V365" i="1"/>
  <c r="AD365" i="1" s="1"/>
  <c r="AC364" i="1"/>
  <c r="AB364" i="1"/>
  <c r="AA364" i="1"/>
  <c r="Z364" i="1"/>
  <c r="Y364" i="1"/>
  <c r="X364" i="1"/>
  <c r="W364" i="1"/>
  <c r="V364" i="1"/>
  <c r="AC363" i="1"/>
  <c r="AB363" i="1"/>
  <c r="AA363" i="1"/>
  <c r="Z363" i="1"/>
  <c r="V363" i="1"/>
  <c r="AD362" i="1"/>
  <c r="AC362" i="1"/>
  <c r="AB362" i="1"/>
  <c r="AA362" i="1"/>
  <c r="Z362" i="1"/>
  <c r="V362" i="1"/>
  <c r="W362" i="1" s="1"/>
  <c r="AC361" i="1"/>
  <c r="AB361" i="1"/>
  <c r="AA361" i="1"/>
  <c r="Z361" i="1"/>
  <c r="X361" i="1"/>
  <c r="W361" i="1"/>
  <c r="V361" i="1"/>
  <c r="AD361" i="1" s="1"/>
  <c r="AC360" i="1"/>
  <c r="AB360" i="1"/>
  <c r="AA360" i="1"/>
  <c r="Z360" i="1"/>
  <c r="Y360" i="1"/>
  <c r="X360" i="1"/>
  <c r="V360" i="1"/>
  <c r="W360" i="1" s="1"/>
  <c r="AD359" i="1"/>
  <c r="AC359" i="1"/>
  <c r="AB359" i="1"/>
  <c r="AA359" i="1"/>
  <c r="Z359" i="1"/>
  <c r="Y359" i="1"/>
  <c r="V359" i="1"/>
  <c r="W359" i="1" s="1"/>
  <c r="X359" i="1" s="1"/>
  <c r="AC358" i="1"/>
  <c r="AB358" i="1"/>
  <c r="AA358" i="1"/>
  <c r="Z358" i="1"/>
  <c r="W358" i="1"/>
  <c r="V358" i="1"/>
  <c r="AD358" i="1" s="1"/>
  <c r="AC357" i="1"/>
  <c r="AB357" i="1"/>
  <c r="AA357" i="1"/>
  <c r="Z357" i="1"/>
  <c r="X357" i="1"/>
  <c r="W357" i="1"/>
  <c r="V357" i="1"/>
  <c r="AD357" i="1" s="1"/>
  <c r="AC356" i="1"/>
  <c r="AB356" i="1"/>
  <c r="AA356" i="1"/>
  <c r="Z356" i="1"/>
  <c r="Y356" i="1"/>
  <c r="X356" i="1"/>
  <c r="W356" i="1"/>
  <c r="V356" i="1"/>
  <c r="AD356" i="1" s="1"/>
  <c r="AC355" i="1"/>
  <c r="AB355" i="1"/>
  <c r="AA355" i="1"/>
  <c r="Z355" i="1"/>
  <c r="V355" i="1"/>
  <c r="AD354" i="1"/>
  <c r="AC354" i="1"/>
  <c r="AB354" i="1"/>
  <c r="AA354" i="1"/>
  <c r="Z354" i="1"/>
  <c r="V354" i="1"/>
  <c r="W354" i="1" s="1"/>
  <c r="AC353" i="1"/>
  <c r="AB353" i="1"/>
  <c r="AA353" i="1"/>
  <c r="Z353" i="1"/>
  <c r="X353" i="1"/>
  <c r="W353" i="1"/>
  <c r="V353" i="1"/>
  <c r="AD353" i="1" s="1"/>
  <c r="AC352" i="1"/>
  <c r="AB352" i="1"/>
  <c r="AA352" i="1"/>
  <c r="Z352" i="1"/>
  <c r="X352" i="1"/>
  <c r="Y352" i="1" s="1"/>
  <c r="V352" i="1"/>
  <c r="W352" i="1" s="1"/>
  <c r="AC351" i="1"/>
  <c r="AB351" i="1"/>
  <c r="AA351" i="1"/>
  <c r="Z351" i="1"/>
  <c r="V351" i="1"/>
  <c r="W351" i="1" s="1"/>
  <c r="X351" i="1" s="1"/>
  <c r="AC350" i="1"/>
  <c r="AB350" i="1"/>
  <c r="AA350" i="1"/>
  <c r="Z350" i="1"/>
  <c r="W350" i="1"/>
  <c r="V350" i="1"/>
  <c r="AD350" i="1" s="1"/>
  <c r="AC349" i="1"/>
  <c r="AB349" i="1"/>
  <c r="AA349" i="1"/>
  <c r="Z349" i="1"/>
  <c r="X349" i="1"/>
  <c r="W349" i="1"/>
  <c r="Y349" i="1" s="1"/>
  <c r="V349" i="1"/>
  <c r="AD349" i="1" s="1"/>
  <c r="AC348" i="1"/>
  <c r="AB348" i="1"/>
  <c r="AA348" i="1"/>
  <c r="Z348" i="1"/>
  <c r="Y348" i="1"/>
  <c r="X348" i="1"/>
  <c r="W348" i="1"/>
  <c r="V348" i="1"/>
  <c r="AD347" i="1"/>
  <c r="AC347" i="1"/>
  <c r="AB347" i="1"/>
  <c r="AA347" i="1"/>
  <c r="Z347" i="1"/>
  <c r="V347" i="1"/>
  <c r="W347" i="1" s="1"/>
  <c r="AD346" i="1"/>
  <c r="AC346" i="1"/>
  <c r="AB346" i="1"/>
  <c r="AA346" i="1"/>
  <c r="Z346" i="1"/>
  <c r="W346" i="1"/>
  <c r="V346" i="1"/>
  <c r="AC345" i="1"/>
  <c r="AB345" i="1"/>
  <c r="AA345" i="1"/>
  <c r="Z345" i="1"/>
  <c r="W345" i="1"/>
  <c r="V345" i="1"/>
  <c r="AD345" i="1" s="1"/>
  <c r="AC344" i="1"/>
  <c r="AB344" i="1"/>
  <c r="AA344" i="1"/>
  <c r="Z344" i="1"/>
  <c r="V344" i="1"/>
  <c r="W344" i="1" s="1"/>
  <c r="X344" i="1" s="1"/>
  <c r="Y344" i="1" s="1"/>
  <c r="AC343" i="1"/>
  <c r="AB343" i="1"/>
  <c r="AA343" i="1"/>
  <c r="Z343" i="1"/>
  <c r="Y343" i="1"/>
  <c r="V343" i="1"/>
  <c r="W343" i="1" s="1"/>
  <c r="X343" i="1" s="1"/>
  <c r="AC342" i="1"/>
  <c r="AB342" i="1"/>
  <c r="AA342" i="1"/>
  <c r="Z342" i="1"/>
  <c r="W342" i="1"/>
  <c r="V342" i="1"/>
  <c r="AD342" i="1" s="1"/>
  <c r="AC341" i="1"/>
  <c r="AB341" i="1"/>
  <c r="AA341" i="1"/>
  <c r="Z341" i="1"/>
  <c r="X341" i="1"/>
  <c r="W341" i="1"/>
  <c r="Y341" i="1" s="1"/>
  <c r="V341" i="1"/>
  <c r="AD341" i="1" s="1"/>
  <c r="AC340" i="1"/>
  <c r="AB340" i="1"/>
  <c r="AA340" i="1"/>
  <c r="Z340" i="1"/>
  <c r="Y340" i="1"/>
  <c r="X340" i="1"/>
  <c r="W340" i="1"/>
  <c r="V340" i="1"/>
  <c r="AD340" i="1" s="1"/>
  <c r="AC339" i="1"/>
  <c r="AD339" i="1" s="1"/>
  <c r="AB339" i="1"/>
  <c r="AA339" i="1"/>
  <c r="Z339" i="1"/>
  <c r="V339" i="1"/>
  <c r="W339" i="1" s="1"/>
  <c r="AD338" i="1"/>
  <c r="AC338" i="1"/>
  <c r="AB338" i="1"/>
  <c r="AA338" i="1"/>
  <c r="Z338" i="1"/>
  <c r="W338" i="1"/>
  <c r="V338" i="1"/>
  <c r="AC337" i="1"/>
  <c r="AB337" i="1"/>
  <c r="AA337" i="1"/>
  <c r="Z337" i="1"/>
  <c r="X337" i="1"/>
  <c r="W337" i="1"/>
  <c r="V337" i="1"/>
  <c r="AD337" i="1" s="1"/>
  <c r="AC336" i="1"/>
  <c r="AB336" i="1"/>
  <c r="AA336" i="1"/>
  <c r="Z336" i="1"/>
  <c r="X336" i="1"/>
  <c r="Y336" i="1" s="1"/>
  <c r="V336" i="1"/>
  <c r="W336" i="1" s="1"/>
  <c r="AC335" i="1"/>
  <c r="AB335" i="1"/>
  <c r="AA335" i="1"/>
  <c r="Z335" i="1"/>
  <c r="V335" i="1"/>
  <c r="AC334" i="1"/>
  <c r="AB334" i="1"/>
  <c r="AA334" i="1"/>
  <c r="Z334" i="1"/>
  <c r="W334" i="1"/>
  <c r="V334" i="1"/>
  <c r="AD334" i="1" s="1"/>
  <c r="AC333" i="1"/>
  <c r="AB333" i="1"/>
  <c r="AA333" i="1"/>
  <c r="Z333" i="1"/>
  <c r="X333" i="1"/>
  <c r="W333" i="1"/>
  <c r="V333" i="1"/>
  <c r="AD333" i="1" s="1"/>
  <c r="AC332" i="1"/>
  <c r="AB332" i="1"/>
  <c r="AA332" i="1"/>
  <c r="Z332" i="1"/>
  <c r="Y332" i="1"/>
  <c r="X332" i="1"/>
  <c r="W332" i="1"/>
  <c r="V332" i="1"/>
  <c r="AC331" i="1"/>
  <c r="AD331" i="1" s="1"/>
  <c r="AB331" i="1"/>
  <c r="AA331" i="1"/>
  <c r="Z331" i="1"/>
  <c r="V331" i="1"/>
  <c r="W331" i="1" s="1"/>
  <c r="AC330" i="1"/>
  <c r="AB330" i="1"/>
  <c r="AA330" i="1"/>
  <c r="Z330" i="1"/>
  <c r="V330" i="1"/>
  <c r="W330" i="1" s="1"/>
  <c r="AC329" i="1"/>
  <c r="AB329" i="1"/>
  <c r="AA329" i="1"/>
  <c r="Z329" i="1"/>
  <c r="W329" i="1"/>
  <c r="V329" i="1"/>
  <c r="AD329" i="1" s="1"/>
  <c r="AC328" i="1"/>
  <c r="AB328" i="1"/>
  <c r="AA328" i="1"/>
  <c r="Z328" i="1"/>
  <c r="V328" i="1"/>
  <c r="W328" i="1" s="1"/>
  <c r="X328" i="1" s="1"/>
  <c r="Y328" i="1" s="1"/>
  <c r="AC327" i="1"/>
  <c r="AB327" i="1"/>
  <c r="AA327" i="1"/>
  <c r="Z327" i="1"/>
  <c r="V327" i="1"/>
  <c r="AC326" i="1"/>
  <c r="AB326" i="1"/>
  <c r="AA326" i="1"/>
  <c r="Z326" i="1"/>
  <c r="V326" i="1"/>
  <c r="W326" i="1" s="1"/>
  <c r="AC325" i="1"/>
  <c r="AB325" i="1"/>
  <c r="AA325" i="1"/>
  <c r="Z325" i="1"/>
  <c r="X325" i="1"/>
  <c r="W325" i="1"/>
  <c r="V325" i="1"/>
  <c r="AD325" i="1" s="1"/>
  <c r="AC324" i="1"/>
  <c r="AB324" i="1"/>
  <c r="AA324" i="1"/>
  <c r="Z324" i="1"/>
  <c r="Y324" i="1"/>
  <c r="X324" i="1"/>
  <c r="W324" i="1"/>
  <c r="V324" i="1"/>
  <c r="AC323" i="1"/>
  <c r="AD323" i="1" s="1"/>
  <c r="AB323" i="1"/>
  <c r="AA323" i="1"/>
  <c r="Z323" i="1"/>
  <c r="Y323" i="1"/>
  <c r="V323" i="1"/>
  <c r="W323" i="1" s="1"/>
  <c r="X323" i="1" s="1"/>
  <c r="AD322" i="1"/>
  <c r="AC322" i="1"/>
  <c r="AB322" i="1"/>
  <c r="AA322" i="1"/>
  <c r="Z322" i="1"/>
  <c r="W322" i="1"/>
  <c r="V322" i="1"/>
  <c r="AC321" i="1"/>
  <c r="AB321" i="1"/>
  <c r="AA321" i="1"/>
  <c r="Z321" i="1"/>
  <c r="X321" i="1"/>
  <c r="W321" i="1"/>
  <c r="V321" i="1"/>
  <c r="AD321" i="1" s="1"/>
  <c r="AC320" i="1"/>
  <c r="AB320" i="1"/>
  <c r="AA320" i="1"/>
  <c r="Z320" i="1"/>
  <c r="X320" i="1"/>
  <c r="Y320" i="1" s="1"/>
  <c r="W320" i="1"/>
  <c r="V320" i="1"/>
  <c r="AD320" i="1" s="1"/>
  <c r="AD319" i="1"/>
  <c r="AC319" i="1"/>
  <c r="AB319" i="1"/>
  <c r="AA319" i="1"/>
  <c r="Z319" i="1"/>
  <c r="Y319" i="1"/>
  <c r="V319" i="1"/>
  <c r="W319" i="1" s="1"/>
  <c r="X319" i="1" s="1"/>
  <c r="AC318" i="1"/>
  <c r="AB318" i="1"/>
  <c r="AA318" i="1"/>
  <c r="Z318" i="1"/>
  <c r="V318" i="1"/>
  <c r="AD318" i="1" s="1"/>
  <c r="AC317" i="1"/>
  <c r="AB317" i="1"/>
  <c r="AA317" i="1"/>
  <c r="Z317" i="1"/>
  <c r="W317" i="1"/>
  <c r="V317" i="1"/>
  <c r="AD317" i="1" s="1"/>
  <c r="AC316" i="1"/>
  <c r="AB316" i="1"/>
  <c r="AA316" i="1"/>
  <c r="Z316" i="1"/>
  <c r="X316" i="1"/>
  <c r="Y316" i="1" s="1"/>
  <c r="W316" i="1"/>
  <c r="V316" i="1"/>
  <c r="AD315" i="1"/>
  <c r="AC315" i="1"/>
  <c r="AB315" i="1"/>
  <c r="AA315" i="1"/>
  <c r="Z315" i="1"/>
  <c r="V315" i="1"/>
  <c r="W315" i="1" s="1"/>
  <c r="AD314" i="1"/>
  <c r="AC314" i="1"/>
  <c r="AB314" i="1"/>
  <c r="AA314" i="1"/>
  <c r="Z314" i="1"/>
  <c r="V314" i="1"/>
  <c r="W314" i="1" s="1"/>
  <c r="AC313" i="1"/>
  <c r="AB313" i="1"/>
  <c r="AA313" i="1"/>
  <c r="Z313" i="1"/>
  <c r="X313" i="1"/>
  <c r="W313" i="1"/>
  <c r="V313" i="1"/>
  <c r="AD313" i="1" s="1"/>
  <c r="AC312" i="1"/>
  <c r="AB312" i="1"/>
  <c r="AA312" i="1"/>
  <c r="Z312" i="1"/>
  <c r="X312" i="1"/>
  <c r="Y312" i="1" s="1"/>
  <c r="W312" i="1"/>
  <c r="V312" i="1"/>
  <c r="AC311" i="1"/>
  <c r="AD311" i="1" s="1"/>
  <c r="AB311" i="1"/>
  <c r="AA311" i="1"/>
  <c r="Z311" i="1"/>
  <c r="Y311" i="1"/>
  <c r="V311" i="1"/>
  <c r="W311" i="1" s="1"/>
  <c r="X311" i="1" s="1"/>
  <c r="AC310" i="1"/>
  <c r="AB310" i="1"/>
  <c r="AA310" i="1"/>
  <c r="Z310" i="1"/>
  <c r="V310" i="1"/>
  <c r="W310" i="1" s="1"/>
  <c r="AC309" i="1"/>
  <c r="AB309" i="1"/>
  <c r="AA309" i="1"/>
  <c r="Z309" i="1"/>
  <c r="W309" i="1"/>
  <c r="X309" i="1" s="1"/>
  <c r="V309" i="1"/>
  <c r="AD309" i="1" s="1"/>
  <c r="AC308" i="1"/>
  <c r="AB308" i="1"/>
  <c r="AA308" i="1"/>
  <c r="Z308" i="1"/>
  <c r="X308" i="1"/>
  <c r="Y308" i="1" s="1"/>
  <c r="W308" i="1"/>
  <c r="V308" i="1"/>
  <c r="AC307" i="1"/>
  <c r="AB307" i="1"/>
  <c r="AA307" i="1"/>
  <c r="Z307" i="1"/>
  <c r="V307" i="1"/>
  <c r="AC306" i="1"/>
  <c r="AB306" i="1"/>
  <c r="AA306" i="1"/>
  <c r="Z306" i="1"/>
  <c r="W306" i="1"/>
  <c r="V306" i="1"/>
  <c r="AD306" i="1" s="1"/>
  <c r="AC305" i="1"/>
  <c r="AB305" i="1"/>
  <c r="AA305" i="1"/>
  <c r="Z305" i="1"/>
  <c r="W305" i="1"/>
  <c r="V305" i="1"/>
  <c r="AD305" i="1" s="1"/>
  <c r="AC304" i="1"/>
  <c r="AB304" i="1"/>
  <c r="AA304" i="1"/>
  <c r="Z304" i="1"/>
  <c r="Y304" i="1"/>
  <c r="X304" i="1"/>
  <c r="W304" i="1"/>
  <c r="V304" i="1"/>
  <c r="AD303" i="1"/>
  <c r="AC303" i="1"/>
  <c r="AB303" i="1"/>
  <c r="AA303" i="1"/>
  <c r="Z303" i="1"/>
  <c r="V303" i="1"/>
  <c r="W303" i="1" s="1"/>
  <c r="X303" i="1" s="1"/>
  <c r="AD302" i="1"/>
  <c r="AC302" i="1"/>
  <c r="AB302" i="1"/>
  <c r="AA302" i="1"/>
  <c r="Z302" i="1"/>
  <c r="W302" i="1"/>
  <c r="V302" i="1"/>
  <c r="AC301" i="1"/>
  <c r="AB301" i="1"/>
  <c r="AA301" i="1"/>
  <c r="Z301" i="1"/>
  <c r="W301" i="1"/>
  <c r="V301" i="1"/>
  <c r="AD301" i="1" s="1"/>
  <c r="AC300" i="1"/>
  <c r="AB300" i="1"/>
  <c r="AA300" i="1"/>
  <c r="Z300" i="1"/>
  <c r="Y300" i="1"/>
  <c r="X300" i="1"/>
  <c r="W300" i="1"/>
  <c r="V300" i="1"/>
  <c r="AD300" i="1" s="1"/>
  <c r="AC299" i="1"/>
  <c r="AB299" i="1"/>
  <c r="AA299" i="1"/>
  <c r="Z299" i="1"/>
  <c r="V299" i="1"/>
  <c r="W299" i="1" s="1"/>
  <c r="X299" i="1" s="1"/>
  <c r="AD298" i="1"/>
  <c r="AC298" i="1"/>
  <c r="AB298" i="1"/>
  <c r="AA298" i="1"/>
  <c r="Z298" i="1"/>
  <c r="W298" i="1"/>
  <c r="V298" i="1"/>
  <c r="AC297" i="1"/>
  <c r="AB297" i="1"/>
  <c r="AA297" i="1"/>
  <c r="Z297" i="1"/>
  <c r="W297" i="1"/>
  <c r="X297" i="1" s="1"/>
  <c r="V297" i="1"/>
  <c r="AD297" i="1" s="1"/>
  <c r="AC296" i="1"/>
  <c r="AB296" i="1"/>
  <c r="AA296" i="1"/>
  <c r="Z296" i="1"/>
  <c r="V296" i="1"/>
  <c r="W296" i="1" s="1"/>
  <c r="AD295" i="1"/>
  <c r="AC295" i="1"/>
  <c r="AB295" i="1"/>
  <c r="AA295" i="1"/>
  <c r="Z295" i="1"/>
  <c r="V295" i="1"/>
  <c r="W295" i="1" s="1"/>
  <c r="AD294" i="1"/>
  <c r="AC294" i="1"/>
  <c r="AB294" i="1"/>
  <c r="AA294" i="1"/>
  <c r="Z294" i="1"/>
  <c r="V294" i="1"/>
  <c r="W294" i="1" s="1"/>
  <c r="AC293" i="1"/>
  <c r="AB293" i="1"/>
  <c r="AA293" i="1"/>
  <c r="Z293" i="1"/>
  <c r="X293" i="1"/>
  <c r="W293" i="1"/>
  <c r="V293" i="1"/>
  <c r="AD293" i="1" s="1"/>
  <c r="AC292" i="1"/>
  <c r="AB292" i="1"/>
  <c r="AA292" i="1"/>
  <c r="Z292" i="1"/>
  <c r="Y292" i="1"/>
  <c r="X292" i="1"/>
  <c r="W292" i="1"/>
  <c r="V292" i="1"/>
  <c r="AC291" i="1"/>
  <c r="AD291" i="1" s="1"/>
  <c r="AB291" i="1"/>
  <c r="AA291" i="1"/>
  <c r="Z291" i="1"/>
  <c r="Y291" i="1"/>
  <c r="V291" i="1"/>
  <c r="W291" i="1" s="1"/>
  <c r="X291" i="1" s="1"/>
  <c r="AC290" i="1"/>
  <c r="AB290" i="1"/>
  <c r="AA290" i="1"/>
  <c r="Z290" i="1"/>
  <c r="W290" i="1"/>
  <c r="V290" i="1"/>
  <c r="AD290" i="1" s="1"/>
  <c r="AC289" i="1"/>
  <c r="AB289" i="1"/>
  <c r="AA289" i="1"/>
  <c r="Z289" i="1"/>
  <c r="W289" i="1"/>
  <c r="V289" i="1"/>
  <c r="AD289" i="1" s="1"/>
  <c r="AC288" i="1"/>
  <c r="AB288" i="1"/>
  <c r="AA288" i="1"/>
  <c r="Z288" i="1"/>
  <c r="V288" i="1"/>
  <c r="W288" i="1" s="1"/>
  <c r="AC287" i="1"/>
  <c r="AB287" i="1"/>
  <c r="AA287" i="1"/>
  <c r="Z287" i="1"/>
  <c r="V287" i="1"/>
  <c r="AC286" i="1"/>
  <c r="AB286" i="1"/>
  <c r="AA286" i="1"/>
  <c r="Z286" i="1"/>
  <c r="V286" i="1"/>
  <c r="W286" i="1" s="1"/>
  <c r="AC285" i="1"/>
  <c r="AB285" i="1"/>
  <c r="AA285" i="1"/>
  <c r="Z285" i="1"/>
  <c r="X285" i="1"/>
  <c r="W285" i="1"/>
  <c r="V285" i="1"/>
  <c r="AD285" i="1" s="1"/>
  <c r="AC284" i="1"/>
  <c r="AB284" i="1"/>
  <c r="AA284" i="1"/>
  <c r="Z284" i="1"/>
  <c r="Y284" i="1"/>
  <c r="X284" i="1"/>
  <c r="W284" i="1"/>
  <c r="V284" i="1"/>
  <c r="AC283" i="1"/>
  <c r="AD283" i="1" s="1"/>
  <c r="AB283" i="1"/>
  <c r="AA283" i="1"/>
  <c r="Z283" i="1"/>
  <c r="Y283" i="1"/>
  <c r="V283" i="1"/>
  <c r="W283" i="1" s="1"/>
  <c r="X283" i="1" s="1"/>
  <c r="AD282" i="1"/>
  <c r="AC282" i="1"/>
  <c r="AB282" i="1"/>
  <c r="AA282" i="1"/>
  <c r="Z282" i="1"/>
  <c r="W282" i="1"/>
  <c r="V282" i="1"/>
  <c r="AC281" i="1"/>
  <c r="AB281" i="1"/>
  <c r="AA281" i="1"/>
  <c r="Z281" i="1"/>
  <c r="X281" i="1"/>
  <c r="W281" i="1"/>
  <c r="V281" i="1"/>
  <c r="AD281" i="1" s="1"/>
  <c r="AC280" i="1"/>
  <c r="AB280" i="1"/>
  <c r="AA280" i="1"/>
  <c r="Z280" i="1"/>
  <c r="Y280" i="1"/>
  <c r="X280" i="1"/>
  <c r="V280" i="1"/>
  <c r="W280" i="1" s="1"/>
  <c r="AC279" i="1"/>
  <c r="AB279" i="1"/>
  <c r="AA279" i="1"/>
  <c r="Z279" i="1"/>
  <c r="V279" i="1"/>
  <c r="AC278" i="1"/>
  <c r="AB278" i="1"/>
  <c r="AA278" i="1"/>
  <c r="Z278" i="1"/>
  <c r="V278" i="1"/>
  <c r="AD278" i="1" s="1"/>
  <c r="AC277" i="1"/>
  <c r="AB277" i="1"/>
  <c r="AA277" i="1"/>
  <c r="Z277" i="1"/>
  <c r="W277" i="1"/>
  <c r="V277" i="1"/>
  <c r="AD277" i="1" s="1"/>
  <c r="AC276" i="1"/>
  <c r="AB276" i="1"/>
  <c r="AA276" i="1"/>
  <c r="Z276" i="1"/>
  <c r="Y276" i="1"/>
  <c r="X276" i="1"/>
  <c r="W276" i="1"/>
  <c r="V276" i="1"/>
  <c r="AC275" i="1"/>
  <c r="AD275" i="1" s="1"/>
  <c r="AB275" i="1"/>
  <c r="AA275" i="1"/>
  <c r="Z275" i="1"/>
  <c r="V275" i="1"/>
  <c r="W275" i="1" s="1"/>
  <c r="X275" i="1" s="1"/>
  <c r="AD274" i="1"/>
  <c r="AC274" i="1"/>
  <c r="AB274" i="1"/>
  <c r="AA274" i="1"/>
  <c r="Z274" i="1"/>
  <c r="W274" i="1"/>
  <c r="V274" i="1"/>
  <c r="AC273" i="1"/>
  <c r="AB273" i="1"/>
  <c r="AA273" i="1"/>
  <c r="Z273" i="1"/>
  <c r="W273" i="1"/>
  <c r="V273" i="1"/>
  <c r="AD273" i="1" s="1"/>
  <c r="AC272" i="1"/>
  <c r="AB272" i="1"/>
  <c r="AA272" i="1"/>
  <c r="Z272" i="1"/>
  <c r="V272" i="1"/>
  <c r="W272" i="1" s="1"/>
  <c r="X272" i="1" s="1"/>
  <c r="Y272" i="1" s="1"/>
  <c r="AD271" i="1"/>
  <c r="AC271" i="1"/>
  <c r="AB271" i="1"/>
  <c r="AA271" i="1"/>
  <c r="Z271" i="1"/>
  <c r="Y271" i="1"/>
  <c r="V271" i="1"/>
  <c r="W271" i="1" s="1"/>
  <c r="X271" i="1" s="1"/>
  <c r="AC270" i="1"/>
  <c r="AB270" i="1"/>
  <c r="AA270" i="1"/>
  <c r="Z270" i="1"/>
  <c r="V270" i="1"/>
  <c r="AD270" i="1" s="1"/>
  <c r="AC269" i="1"/>
  <c r="AB269" i="1"/>
  <c r="AA269" i="1"/>
  <c r="Z269" i="1"/>
  <c r="W269" i="1"/>
  <c r="V269" i="1"/>
  <c r="AD269" i="1" s="1"/>
  <c r="AC268" i="1"/>
  <c r="AB268" i="1"/>
  <c r="AA268" i="1"/>
  <c r="Z268" i="1"/>
  <c r="X268" i="1"/>
  <c r="Y268" i="1" s="1"/>
  <c r="W268" i="1"/>
  <c r="V268" i="1"/>
  <c r="AD268" i="1" s="1"/>
  <c r="AD267" i="1"/>
  <c r="AC267" i="1"/>
  <c r="AB267" i="1"/>
  <c r="AA267" i="1"/>
  <c r="Z267" i="1"/>
  <c r="V267" i="1"/>
  <c r="W267" i="1" s="1"/>
  <c r="AD266" i="1"/>
  <c r="AC266" i="1"/>
  <c r="AB266" i="1"/>
  <c r="AA266" i="1"/>
  <c r="Z266" i="1"/>
  <c r="V266" i="1"/>
  <c r="W266" i="1" s="1"/>
  <c r="AC265" i="1"/>
  <c r="AB265" i="1"/>
  <c r="AA265" i="1"/>
  <c r="Z265" i="1"/>
  <c r="X265" i="1"/>
  <c r="W265" i="1"/>
  <c r="V265" i="1"/>
  <c r="AD265" i="1" s="1"/>
  <c r="AC264" i="1"/>
  <c r="AB264" i="1"/>
  <c r="AA264" i="1"/>
  <c r="Z264" i="1"/>
  <c r="V264" i="1"/>
  <c r="AC263" i="1"/>
  <c r="AB263" i="1"/>
  <c r="AA263" i="1"/>
  <c r="Z263" i="1"/>
  <c r="Y263" i="1"/>
  <c r="W263" i="1"/>
  <c r="X263" i="1" s="1"/>
  <c r="V263" i="1"/>
  <c r="AD263" i="1" s="1"/>
  <c r="AC262" i="1"/>
  <c r="AB262" i="1"/>
  <c r="AA262" i="1"/>
  <c r="Z262" i="1"/>
  <c r="X262" i="1"/>
  <c r="W262" i="1"/>
  <c r="V262" i="1"/>
  <c r="AD262" i="1" s="1"/>
  <c r="AC261" i="1"/>
  <c r="AB261" i="1"/>
  <c r="AA261" i="1"/>
  <c r="Z261" i="1"/>
  <c r="Y261" i="1"/>
  <c r="X261" i="1"/>
  <c r="W261" i="1"/>
  <c r="V261" i="1"/>
  <c r="AD261" i="1" s="1"/>
  <c r="AC260" i="1"/>
  <c r="AB260" i="1"/>
  <c r="AA260" i="1"/>
  <c r="Z260" i="1"/>
  <c r="Y260" i="1"/>
  <c r="X260" i="1"/>
  <c r="W260" i="1"/>
  <c r="V260" i="1"/>
  <c r="AD260" i="1" s="1"/>
  <c r="AC259" i="1"/>
  <c r="AB259" i="1"/>
  <c r="AA259" i="1"/>
  <c r="Z259" i="1"/>
  <c r="Y259" i="1"/>
  <c r="V259" i="1"/>
  <c r="W259" i="1" s="1"/>
  <c r="X259" i="1" s="1"/>
  <c r="AC258" i="1"/>
  <c r="AB258" i="1"/>
  <c r="AA258" i="1"/>
  <c r="Z258" i="1"/>
  <c r="W258" i="1"/>
  <c r="V258" i="1"/>
  <c r="AD258" i="1" s="1"/>
  <c r="AC257" i="1"/>
  <c r="AB257" i="1"/>
  <c r="AA257" i="1"/>
  <c r="Z257" i="1"/>
  <c r="W257" i="1"/>
  <c r="X257" i="1" s="1"/>
  <c r="V257" i="1"/>
  <c r="AD257" i="1" s="1"/>
  <c r="AC256" i="1"/>
  <c r="AB256" i="1"/>
  <c r="AA256" i="1"/>
  <c r="Z256" i="1"/>
  <c r="V256" i="1"/>
  <c r="AC255" i="1"/>
  <c r="AB255" i="1"/>
  <c r="AA255" i="1"/>
  <c r="Z255" i="1"/>
  <c r="V255" i="1"/>
  <c r="AD255" i="1" s="1"/>
  <c r="AC254" i="1"/>
  <c r="AB254" i="1"/>
  <c r="AA254" i="1"/>
  <c r="Z254" i="1"/>
  <c r="V254" i="1"/>
  <c r="AD254" i="1" s="1"/>
  <c r="AC253" i="1"/>
  <c r="AB253" i="1"/>
  <c r="AA253" i="1"/>
  <c r="Z253" i="1"/>
  <c r="X253" i="1"/>
  <c r="W253" i="1"/>
  <c r="Y253" i="1" s="1"/>
  <c r="V253" i="1"/>
  <c r="AD253" i="1" s="1"/>
  <c r="AC252" i="1"/>
  <c r="AB252" i="1"/>
  <c r="AA252" i="1"/>
  <c r="Z252" i="1"/>
  <c r="X252" i="1"/>
  <c r="W252" i="1"/>
  <c r="Y252" i="1" s="1"/>
  <c r="V252" i="1"/>
  <c r="AD251" i="1"/>
  <c r="AC251" i="1"/>
  <c r="AB251" i="1"/>
  <c r="AA251" i="1"/>
  <c r="Z251" i="1"/>
  <c r="Y251" i="1"/>
  <c r="X251" i="1"/>
  <c r="V251" i="1"/>
  <c r="W251" i="1" s="1"/>
  <c r="AD250" i="1"/>
  <c r="AC250" i="1"/>
  <c r="AB250" i="1"/>
  <c r="AA250" i="1"/>
  <c r="Z250" i="1"/>
  <c r="Y250" i="1"/>
  <c r="W250" i="1"/>
  <c r="X250" i="1" s="1"/>
  <c r="V250" i="1"/>
  <c r="AD249" i="1"/>
  <c r="AC249" i="1"/>
  <c r="AB249" i="1"/>
  <c r="AA249" i="1"/>
  <c r="Z249" i="1"/>
  <c r="X249" i="1"/>
  <c r="W249" i="1"/>
  <c r="V249" i="1"/>
  <c r="AC248" i="1"/>
  <c r="AB248" i="1"/>
  <c r="AA248" i="1"/>
  <c r="Z248" i="1"/>
  <c r="X248" i="1"/>
  <c r="V248" i="1"/>
  <c r="W248" i="1" s="1"/>
  <c r="Y248" i="1" s="1"/>
  <c r="AC247" i="1"/>
  <c r="AB247" i="1"/>
  <c r="AA247" i="1"/>
  <c r="Z247" i="1"/>
  <c r="W247" i="1"/>
  <c r="X247" i="1" s="1"/>
  <c r="Y247" i="1" s="1"/>
  <c r="V247" i="1"/>
  <c r="AD247" i="1" s="1"/>
  <c r="AC246" i="1"/>
  <c r="AB246" i="1"/>
  <c r="AA246" i="1"/>
  <c r="Z246" i="1"/>
  <c r="X246" i="1"/>
  <c r="W246" i="1"/>
  <c r="Y246" i="1" s="1"/>
  <c r="V246" i="1"/>
  <c r="AC245" i="1"/>
  <c r="AB245" i="1"/>
  <c r="AA245" i="1"/>
  <c r="Z245" i="1"/>
  <c r="V245" i="1"/>
  <c r="AC244" i="1"/>
  <c r="AB244" i="1"/>
  <c r="AA244" i="1"/>
  <c r="Z244" i="1"/>
  <c r="Y244" i="1"/>
  <c r="X244" i="1"/>
  <c r="W244" i="1"/>
  <c r="V244" i="1"/>
  <c r="AD244" i="1" s="1"/>
  <c r="AC243" i="1"/>
  <c r="AB243" i="1"/>
  <c r="AA243" i="1"/>
  <c r="Z243" i="1"/>
  <c r="V243" i="1"/>
  <c r="W243" i="1" s="1"/>
  <c r="AC242" i="1"/>
  <c r="AD242" i="1" s="1"/>
  <c r="AB242" i="1"/>
  <c r="AA242" i="1"/>
  <c r="Z242" i="1"/>
  <c r="V242" i="1"/>
  <c r="W242" i="1" s="1"/>
  <c r="AC241" i="1"/>
  <c r="AD241" i="1" s="1"/>
  <c r="AB241" i="1"/>
  <c r="AA241" i="1"/>
  <c r="Z241" i="1"/>
  <c r="V241" i="1"/>
  <c r="W241" i="1" s="1"/>
  <c r="AD240" i="1"/>
  <c r="AC240" i="1"/>
  <c r="AB240" i="1"/>
  <c r="AA240" i="1"/>
  <c r="Z240" i="1"/>
  <c r="W240" i="1"/>
  <c r="V240" i="1"/>
  <c r="AC239" i="1"/>
  <c r="AD239" i="1" s="1"/>
  <c r="AB239" i="1"/>
  <c r="AA239" i="1"/>
  <c r="Z239" i="1"/>
  <c r="W239" i="1"/>
  <c r="V239" i="1"/>
  <c r="AC238" i="1"/>
  <c r="AB238" i="1"/>
  <c r="AA238" i="1"/>
  <c r="Z238" i="1"/>
  <c r="X238" i="1"/>
  <c r="V238" i="1"/>
  <c r="W238" i="1" s="1"/>
  <c r="AC237" i="1"/>
  <c r="AB237" i="1"/>
  <c r="AA237" i="1"/>
  <c r="Z237" i="1"/>
  <c r="X237" i="1"/>
  <c r="Y237" i="1" s="1"/>
  <c r="W237" i="1"/>
  <c r="V237" i="1"/>
  <c r="AD237" i="1" s="1"/>
  <c r="AC236" i="1"/>
  <c r="AB236" i="1"/>
  <c r="AA236" i="1"/>
  <c r="Z236" i="1"/>
  <c r="X236" i="1"/>
  <c r="Y236" i="1" s="1"/>
  <c r="W236" i="1"/>
  <c r="V236" i="1"/>
  <c r="AD235" i="1"/>
  <c r="AC235" i="1"/>
  <c r="AB235" i="1"/>
  <c r="AA235" i="1"/>
  <c r="Z235" i="1"/>
  <c r="Y235" i="1"/>
  <c r="X235" i="1"/>
  <c r="V235" i="1"/>
  <c r="W235" i="1" s="1"/>
  <c r="AD234" i="1"/>
  <c r="AC234" i="1"/>
  <c r="AB234" i="1"/>
  <c r="AA234" i="1"/>
  <c r="Z234" i="1"/>
  <c r="Y234" i="1"/>
  <c r="W234" i="1"/>
  <c r="X234" i="1" s="1"/>
  <c r="V234" i="1"/>
  <c r="AD233" i="1"/>
  <c r="AC233" i="1"/>
  <c r="AB233" i="1"/>
  <c r="AA233" i="1"/>
  <c r="Z233" i="1"/>
  <c r="X233" i="1"/>
  <c r="W233" i="1"/>
  <c r="V233" i="1"/>
  <c r="AD232" i="1"/>
  <c r="AC232" i="1"/>
  <c r="AB232" i="1"/>
  <c r="AA232" i="1"/>
  <c r="Z232" i="1"/>
  <c r="V232" i="1"/>
  <c r="W232" i="1" s="1"/>
  <c r="X232" i="1" s="1"/>
  <c r="Y232" i="1" s="1"/>
  <c r="AD231" i="1"/>
  <c r="AC231" i="1"/>
  <c r="AB231" i="1"/>
  <c r="AA231" i="1"/>
  <c r="Z231" i="1"/>
  <c r="Y231" i="1"/>
  <c r="V231" i="1"/>
  <c r="W231" i="1" s="1"/>
  <c r="X231" i="1" s="1"/>
  <c r="AC230" i="1"/>
  <c r="AB230" i="1"/>
  <c r="AA230" i="1"/>
  <c r="Z230" i="1"/>
  <c r="W230" i="1"/>
  <c r="V230" i="1"/>
  <c r="AD229" i="1"/>
  <c r="AC229" i="1"/>
  <c r="AB229" i="1"/>
  <c r="AA229" i="1"/>
  <c r="Z229" i="1"/>
  <c r="X229" i="1"/>
  <c r="Y229" i="1" s="1"/>
  <c r="V229" i="1"/>
  <c r="W229" i="1" s="1"/>
  <c r="AC228" i="1"/>
  <c r="AB228" i="1"/>
  <c r="AA228" i="1"/>
  <c r="Z228" i="1"/>
  <c r="X228" i="1"/>
  <c r="Y228" i="1" s="1"/>
  <c r="W228" i="1"/>
  <c r="V228" i="1"/>
  <c r="AC227" i="1"/>
  <c r="AB227" i="1"/>
  <c r="AA227" i="1"/>
  <c r="Z227" i="1"/>
  <c r="V227" i="1"/>
  <c r="AC226" i="1"/>
  <c r="AB226" i="1"/>
  <c r="AA226" i="1"/>
  <c r="Z226" i="1"/>
  <c r="V226" i="1"/>
  <c r="W226" i="1" s="1"/>
  <c r="X226" i="1" s="1"/>
  <c r="AD225" i="1"/>
  <c r="AC225" i="1"/>
  <c r="AB225" i="1"/>
  <c r="AA225" i="1"/>
  <c r="Z225" i="1"/>
  <c r="V225" i="1"/>
  <c r="W225" i="1" s="1"/>
  <c r="X225" i="1" s="1"/>
  <c r="AC224" i="1"/>
  <c r="AD224" i="1" s="1"/>
  <c r="AB224" i="1"/>
  <c r="AA224" i="1"/>
  <c r="Z224" i="1"/>
  <c r="V224" i="1"/>
  <c r="W224" i="1" s="1"/>
  <c r="AC223" i="1"/>
  <c r="AD223" i="1" s="1"/>
  <c r="AB223" i="1"/>
  <c r="AA223" i="1"/>
  <c r="Z223" i="1"/>
  <c r="V223" i="1"/>
  <c r="W223" i="1" s="1"/>
  <c r="AC222" i="1"/>
  <c r="AB222" i="1"/>
  <c r="AA222" i="1"/>
  <c r="Z222" i="1"/>
  <c r="V222" i="1"/>
  <c r="AD222" i="1" s="1"/>
  <c r="AC221" i="1"/>
  <c r="AB221" i="1"/>
  <c r="AA221" i="1"/>
  <c r="Z221" i="1"/>
  <c r="W221" i="1"/>
  <c r="V221" i="1"/>
  <c r="AD221" i="1" s="1"/>
  <c r="AC220" i="1"/>
  <c r="AB220" i="1"/>
  <c r="AA220" i="1"/>
  <c r="Z220" i="1"/>
  <c r="W220" i="1"/>
  <c r="V220" i="1"/>
  <c r="AD219" i="1"/>
  <c r="AC219" i="1"/>
  <c r="AB219" i="1"/>
  <c r="AA219" i="1"/>
  <c r="Z219" i="1"/>
  <c r="X219" i="1"/>
  <c r="Y219" i="1" s="1"/>
  <c r="V219" i="1"/>
  <c r="W219" i="1" s="1"/>
  <c r="AD218" i="1"/>
  <c r="AC218" i="1"/>
  <c r="AB218" i="1"/>
  <c r="AA218" i="1"/>
  <c r="Z218" i="1"/>
  <c r="W218" i="1"/>
  <c r="X218" i="1" s="1"/>
  <c r="V218" i="1"/>
  <c r="AD217" i="1"/>
  <c r="AC217" i="1"/>
  <c r="AB217" i="1"/>
  <c r="AA217" i="1"/>
  <c r="Z217" i="1"/>
  <c r="W217" i="1"/>
  <c r="V217" i="1"/>
  <c r="AD216" i="1"/>
  <c r="AC216" i="1"/>
  <c r="AB216" i="1"/>
  <c r="AA216" i="1"/>
  <c r="Z216" i="1"/>
  <c r="V216" i="1"/>
  <c r="W216" i="1" s="1"/>
  <c r="AD215" i="1"/>
  <c r="AC215" i="1"/>
  <c r="AB215" i="1"/>
  <c r="AA215" i="1"/>
  <c r="Z215" i="1"/>
  <c r="V215" i="1"/>
  <c r="W215" i="1" s="1"/>
  <c r="AC214" i="1"/>
  <c r="AB214" i="1"/>
  <c r="AA214" i="1"/>
  <c r="Z214" i="1"/>
  <c r="X214" i="1"/>
  <c r="W214" i="1"/>
  <c r="V214" i="1"/>
  <c r="AD213" i="1"/>
  <c r="AC213" i="1"/>
  <c r="AB213" i="1"/>
  <c r="AA213" i="1"/>
  <c r="Z213" i="1"/>
  <c r="V213" i="1"/>
  <c r="W213" i="1" s="1"/>
  <c r="AC212" i="1"/>
  <c r="AB212" i="1"/>
  <c r="AA212" i="1"/>
  <c r="Z212" i="1"/>
  <c r="Y212" i="1"/>
  <c r="X212" i="1"/>
  <c r="W212" i="1"/>
  <c r="V212" i="1"/>
  <c r="AC211" i="1"/>
  <c r="AD211" i="1" s="1"/>
  <c r="AB211" i="1"/>
  <c r="AA211" i="1"/>
  <c r="Z211" i="1"/>
  <c r="Y211" i="1"/>
  <c r="V211" i="1"/>
  <c r="W211" i="1" s="1"/>
  <c r="X211" i="1" s="1"/>
  <c r="AC210" i="1"/>
  <c r="AD210" i="1" s="1"/>
  <c r="AB210" i="1"/>
  <c r="AA210" i="1"/>
  <c r="Z210" i="1"/>
  <c r="Y210" i="1"/>
  <c r="V210" i="1"/>
  <c r="W210" i="1" s="1"/>
  <c r="X210" i="1" s="1"/>
  <c r="AC209" i="1"/>
  <c r="AB209" i="1"/>
  <c r="AA209" i="1"/>
  <c r="Z209" i="1"/>
  <c r="V209" i="1"/>
  <c r="W209" i="1" s="1"/>
  <c r="AC208" i="1"/>
  <c r="AB208" i="1"/>
  <c r="AA208" i="1"/>
  <c r="Z208" i="1"/>
  <c r="V208" i="1"/>
  <c r="W208" i="1" s="1"/>
  <c r="AC207" i="1"/>
  <c r="AB207" i="1"/>
  <c r="AA207" i="1"/>
  <c r="Z207" i="1"/>
  <c r="V207" i="1"/>
  <c r="W207" i="1" s="1"/>
  <c r="AC206" i="1"/>
  <c r="AB206" i="1"/>
  <c r="AA206" i="1"/>
  <c r="Z206" i="1"/>
  <c r="W206" i="1"/>
  <c r="V206" i="1"/>
  <c r="AD206" i="1" s="1"/>
  <c r="AC205" i="1"/>
  <c r="AB205" i="1"/>
  <c r="AA205" i="1"/>
  <c r="Z205" i="1"/>
  <c r="V205" i="1"/>
  <c r="W205" i="1" s="1"/>
  <c r="AC204" i="1"/>
  <c r="AB204" i="1"/>
  <c r="AA204" i="1"/>
  <c r="Z204" i="1"/>
  <c r="X204" i="1"/>
  <c r="W204" i="1"/>
  <c r="Y204" i="1" s="1"/>
  <c r="V204" i="1"/>
  <c r="AC203" i="1"/>
  <c r="AD203" i="1" s="1"/>
  <c r="AB203" i="1"/>
  <c r="AA203" i="1"/>
  <c r="Z203" i="1"/>
  <c r="V203" i="1"/>
  <c r="W203" i="1" s="1"/>
  <c r="X203" i="1" s="1"/>
  <c r="Y203" i="1" s="1"/>
  <c r="AC202" i="1"/>
  <c r="AD202" i="1" s="1"/>
  <c r="AB202" i="1"/>
  <c r="AA202" i="1"/>
  <c r="Z202" i="1"/>
  <c r="V202" i="1"/>
  <c r="W202" i="1" s="1"/>
  <c r="AC201" i="1"/>
  <c r="AD201" i="1" s="1"/>
  <c r="AB201" i="1"/>
  <c r="AA201" i="1"/>
  <c r="Z201" i="1"/>
  <c r="V201" i="1"/>
  <c r="W201" i="1" s="1"/>
  <c r="AC200" i="1"/>
  <c r="AB200" i="1"/>
  <c r="AA200" i="1"/>
  <c r="Z200" i="1"/>
  <c r="V200" i="1"/>
  <c r="W200" i="1" s="1"/>
  <c r="AD199" i="1"/>
  <c r="AC199" i="1"/>
  <c r="AB199" i="1"/>
  <c r="AA199" i="1"/>
  <c r="Z199" i="1"/>
  <c r="V199" i="1"/>
  <c r="W199" i="1" s="1"/>
  <c r="AC198" i="1"/>
  <c r="AB198" i="1"/>
  <c r="AA198" i="1"/>
  <c r="Z198" i="1"/>
  <c r="W198" i="1"/>
  <c r="V198" i="1"/>
  <c r="AD197" i="1"/>
  <c r="AC197" i="1"/>
  <c r="AB197" i="1"/>
  <c r="AA197" i="1"/>
  <c r="Z197" i="1"/>
  <c r="V197" i="1"/>
  <c r="W197" i="1" s="1"/>
  <c r="AC196" i="1"/>
  <c r="AB196" i="1"/>
  <c r="AA196" i="1"/>
  <c r="Z196" i="1"/>
  <c r="X196" i="1"/>
  <c r="Y196" i="1" s="1"/>
  <c r="W196" i="1"/>
  <c r="V196" i="1"/>
  <c r="AD195" i="1"/>
  <c r="AC195" i="1"/>
  <c r="AB195" i="1"/>
  <c r="AA195" i="1"/>
  <c r="Z195" i="1"/>
  <c r="V195" i="1"/>
  <c r="W195" i="1" s="1"/>
  <c r="X195" i="1" s="1"/>
  <c r="AC194" i="1"/>
  <c r="AD194" i="1" s="1"/>
  <c r="AB194" i="1"/>
  <c r="AA194" i="1"/>
  <c r="Z194" i="1"/>
  <c r="V194" i="1"/>
  <c r="W194" i="1" s="1"/>
  <c r="X194" i="1" s="1"/>
  <c r="AC193" i="1"/>
  <c r="AD193" i="1" s="1"/>
  <c r="AB193" i="1"/>
  <c r="AA193" i="1"/>
  <c r="Z193" i="1"/>
  <c r="X193" i="1"/>
  <c r="V193" i="1"/>
  <c r="W193" i="1" s="1"/>
  <c r="AC192" i="1"/>
  <c r="AB192" i="1"/>
  <c r="AA192" i="1"/>
  <c r="Z192" i="1"/>
  <c r="W192" i="1"/>
  <c r="X192" i="1" s="1"/>
  <c r="V192" i="1"/>
  <c r="AD192" i="1" s="1"/>
  <c r="AC191" i="1"/>
  <c r="AB191" i="1"/>
  <c r="AA191" i="1"/>
  <c r="Z191" i="1"/>
  <c r="W191" i="1"/>
  <c r="V191" i="1"/>
  <c r="AD191" i="1" s="1"/>
  <c r="AC190" i="1"/>
  <c r="AB190" i="1"/>
  <c r="AA190" i="1"/>
  <c r="Z190" i="1"/>
  <c r="V190" i="1"/>
  <c r="W190" i="1" s="1"/>
  <c r="AC189" i="1"/>
  <c r="AB189" i="1"/>
  <c r="AA189" i="1"/>
  <c r="Z189" i="1"/>
  <c r="V189" i="1"/>
  <c r="W189" i="1" s="1"/>
  <c r="AC188" i="1"/>
  <c r="AB188" i="1"/>
  <c r="AA188" i="1"/>
  <c r="Z188" i="1"/>
  <c r="W188" i="1"/>
  <c r="X188" i="1" s="1"/>
  <c r="Y188" i="1" s="1"/>
  <c r="V188" i="1"/>
  <c r="AC187" i="1"/>
  <c r="AD187" i="1" s="1"/>
  <c r="AB187" i="1"/>
  <c r="AA187" i="1"/>
  <c r="Z187" i="1"/>
  <c r="V187" i="1"/>
  <c r="W187" i="1" s="1"/>
  <c r="AC186" i="1"/>
  <c r="AD186" i="1" s="1"/>
  <c r="AB186" i="1"/>
  <c r="AA186" i="1"/>
  <c r="Z186" i="1"/>
  <c r="V186" i="1"/>
  <c r="W186" i="1" s="1"/>
  <c r="AC185" i="1"/>
  <c r="AD185" i="1" s="1"/>
  <c r="AB185" i="1"/>
  <c r="AA185" i="1"/>
  <c r="Z185" i="1"/>
  <c r="V185" i="1"/>
  <c r="W185" i="1" s="1"/>
  <c r="AC184" i="1"/>
  <c r="AB184" i="1"/>
  <c r="AA184" i="1"/>
  <c r="Z184" i="1"/>
  <c r="V184" i="1"/>
  <c r="AC183" i="1"/>
  <c r="AB183" i="1"/>
  <c r="AA183" i="1"/>
  <c r="Z183" i="1"/>
  <c r="V183" i="1"/>
  <c r="W183" i="1" s="1"/>
  <c r="AC182" i="1"/>
  <c r="AB182" i="1"/>
  <c r="AA182" i="1"/>
  <c r="Z182" i="1"/>
  <c r="W182" i="1"/>
  <c r="X182" i="1" s="1"/>
  <c r="V182" i="1"/>
  <c r="AD182" i="1" s="1"/>
  <c r="AC181" i="1"/>
  <c r="AB181" i="1"/>
  <c r="AA181" i="1"/>
  <c r="Z181" i="1"/>
  <c r="V181" i="1"/>
  <c r="AC180" i="1"/>
  <c r="AB180" i="1"/>
  <c r="AA180" i="1"/>
  <c r="Z180" i="1"/>
  <c r="X180" i="1"/>
  <c r="Y180" i="1" s="1"/>
  <c r="W180" i="1"/>
  <c r="V180" i="1"/>
  <c r="AD180" i="1" s="1"/>
  <c r="AC179" i="1"/>
  <c r="AB179" i="1"/>
  <c r="AA179" i="1"/>
  <c r="Z179" i="1"/>
  <c r="V179" i="1"/>
  <c r="W179" i="1" s="1"/>
  <c r="X179" i="1" s="1"/>
  <c r="AD178" i="1"/>
  <c r="AC178" i="1"/>
  <c r="AB178" i="1"/>
  <c r="AA178" i="1"/>
  <c r="Z178" i="1"/>
  <c r="V178" i="1"/>
  <c r="W178" i="1" s="1"/>
  <c r="X178" i="1" s="1"/>
  <c r="AC177" i="1"/>
  <c r="AD177" i="1" s="1"/>
  <c r="AB177" i="1"/>
  <c r="AA177" i="1"/>
  <c r="Z177" i="1"/>
  <c r="X177" i="1"/>
  <c r="V177" i="1"/>
  <c r="W177" i="1" s="1"/>
  <c r="AC176" i="1"/>
  <c r="AD176" i="1" s="1"/>
  <c r="AB176" i="1"/>
  <c r="AA176" i="1"/>
  <c r="Z176" i="1"/>
  <c r="Y176" i="1"/>
  <c r="W176" i="1"/>
  <c r="X176" i="1" s="1"/>
  <c r="V176" i="1"/>
  <c r="AC175" i="1"/>
  <c r="AD175" i="1" s="1"/>
  <c r="AB175" i="1"/>
  <c r="AA175" i="1"/>
  <c r="Z175" i="1"/>
  <c r="X175" i="1"/>
  <c r="W175" i="1"/>
  <c r="V175" i="1"/>
  <c r="AC174" i="1"/>
  <c r="AB174" i="1"/>
  <c r="AA174" i="1"/>
  <c r="Z174" i="1"/>
  <c r="V174" i="1"/>
  <c r="W174" i="1" s="1"/>
  <c r="AC173" i="1"/>
  <c r="AB173" i="1"/>
  <c r="AA173" i="1"/>
  <c r="Z173" i="1"/>
  <c r="V173" i="1"/>
  <c r="AD173" i="1" s="1"/>
  <c r="AC172" i="1"/>
  <c r="AB172" i="1"/>
  <c r="AA172" i="1"/>
  <c r="Z172" i="1"/>
  <c r="W172" i="1"/>
  <c r="V172" i="1"/>
  <c r="AC171" i="1"/>
  <c r="AB171" i="1"/>
  <c r="AA171" i="1"/>
  <c r="Z171" i="1"/>
  <c r="V171" i="1"/>
  <c r="W171" i="1" s="1"/>
  <c r="AD170" i="1"/>
  <c r="AC170" i="1"/>
  <c r="AB170" i="1"/>
  <c r="AA170" i="1"/>
  <c r="Z170" i="1"/>
  <c r="V170" i="1"/>
  <c r="W170" i="1" s="1"/>
  <c r="AC169" i="1"/>
  <c r="AB169" i="1"/>
  <c r="AA169" i="1"/>
  <c r="Z169" i="1"/>
  <c r="V169" i="1"/>
  <c r="W169" i="1" s="1"/>
  <c r="AD168" i="1"/>
  <c r="AC168" i="1"/>
  <c r="AB168" i="1"/>
  <c r="AA168" i="1"/>
  <c r="Z168" i="1"/>
  <c r="W168" i="1"/>
  <c r="V168" i="1"/>
  <c r="AC167" i="1"/>
  <c r="AB167" i="1"/>
  <c r="AA167" i="1"/>
  <c r="Z167" i="1"/>
  <c r="W167" i="1"/>
  <c r="X167" i="1" s="1"/>
  <c r="V167" i="1"/>
  <c r="AD167" i="1" s="1"/>
  <c r="AC166" i="1"/>
  <c r="AB166" i="1"/>
  <c r="AA166" i="1"/>
  <c r="Z166" i="1"/>
  <c r="X166" i="1"/>
  <c r="W166" i="1"/>
  <c r="V166" i="1"/>
  <c r="AD166" i="1" s="1"/>
  <c r="AC165" i="1"/>
  <c r="AB165" i="1"/>
  <c r="AA165" i="1"/>
  <c r="Z165" i="1"/>
  <c r="X165" i="1"/>
  <c r="Y165" i="1" s="1"/>
  <c r="V165" i="1"/>
  <c r="W165" i="1" s="1"/>
  <c r="AC164" i="1"/>
  <c r="AB164" i="1"/>
  <c r="AA164" i="1"/>
  <c r="Z164" i="1"/>
  <c r="Y164" i="1"/>
  <c r="W164" i="1"/>
  <c r="X164" i="1" s="1"/>
  <c r="V164" i="1"/>
  <c r="AD164" i="1" s="1"/>
  <c r="AC163" i="1"/>
  <c r="AB163" i="1"/>
  <c r="AA163" i="1"/>
  <c r="Z163" i="1"/>
  <c r="W163" i="1"/>
  <c r="V163" i="1"/>
  <c r="AD163" i="1" s="1"/>
  <c r="AC162" i="1"/>
  <c r="AB162" i="1"/>
  <c r="AA162" i="1"/>
  <c r="Z162" i="1"/>
  <c r="X162" i="1"/>
  <c r="Y162" i="1" s="1"/>
  <c r="W162" i="1"/>
  <c r="V162" i="1"/>
  <c r="AD162" i="1" s="1"/>
  <c r="AC161" i="1"/>
  <c r="AB161" i="1"/>
  <c r="AA161" i="1"/>
  <c r="Z161" i="1"/>
  <c r="V161" i="1"/>
  <c r="W161" i="1" s="1"/>
  <c r="X161" i="1" s="1"/>
  <c r="AC160" i="1"/>
  <c r="AB160" i="1"/>
  <c r="AA160" i="1"/>
  <c r="Z160" i="1"/>
  <c r="W160" i="1"/>
  <c r="X160" i="1" s="1"/>
  <c r="Y160" i="1" s="1"/>
  <c r="V160" i="1"/>
  <c r="AD160" i="1" s="1"/>
  <c r="AC159" i="1"/>
  <c r="AB159" i="1"/>
  <c r="AA159" i="1"/>
  <c r="Z159" i="1"/>
  <c r="X159" i="1"/>
  <c r="Y159" i="1" s="1"/>
  <c r="W159" i="1"/>
  <c r="V159" i="1"/>
  <c r="AD159" i="1" s="1"/>
  <c r="AC158" i="1"/>
  <c r="AB158" i="1"/>
  <c r="AA158" i="1"/>
  <c r="Z158" i="1"/>
  <c r="X158" i="1"/>
  <c r="Y158" i="1" s="1"/>
  <c r="W158" i="1"/>
  <c r="V158" i="1"/>
  <c r="AC157" i="1"/>
  <c r="AD157" i="1" s="1"/>
  <c r="AB157" i="1"/>
  <c r="AA157" i="1"/>
  <c r="Z157" i="1"/>
  <c r="Y157" i="1"/>
  <c r="X157" i="1"/>
  <c r="V157" i="1"/>
  <c r="W157" i="1" s="1"/>
  <c r="AC156" i="1"/>
  <c r="AD156" i="1" s="1"/>
  <c r="AB156" i="1"/>
  <c r="AA156" i="1"/>
  <c r="Z156" i="1"/>
  <c r="Y156" i="1"/>
  <c r="W156" i="1"/>
  <c r="X156" i="1" s="1"/>
  <c r="V156" i="1"/>
  <c r="AC155" i="1"/>
  <c r="AD155" i="1" s="1"/>
  <c r="AB155" i="1"/>
  <c r="AA155" i="1"/>
  <c r="Z155" i="1"/>
  <c r="X155" i="1"/>
  <c r="W155" i="1"/>
  <c r="V155" i="1"/>
  <c r="AC154" i="1"/>
  <c r="AB154" i="1"/>
  <c r="AA154" i="1"/>
  <c r="Z154" i="1"/>
  <c r="V154" i="1"/>
  <c r="AD154" i="1" s="1"/>
  <c r="AC153" i="1"/>
  <c r="AB153" i="1"/>
  <c r="AA153" i="1"/>
  <c r="Z153" i="1"/>
  <c r="V153" i="1"/>
  <c r="W153" i="1" s="1"/>
  <c r="AD152" i="1"/>
  <c r="AC152" i="1"/>
  <c r="AB152" i="1"/>
  <c r="AA152" i="1"/>
  <c r="Z152" i="1"/>
  <c r="V152" i="1"/>
  <c r="W152" i="1" s="1"/>
  <c r="AC151" i="1"/>
  <c r="AB151" i="1"/>
  <c r="AA151" i="1"/>
  <c r="Z151" i="1"/>
  <c r="X151" i="1"/>
  <c r="W151" i="1"/>
  <c r="V151" i="1"/>
  <c r="AD151" i="1" s="1"/>
  <c r="AC150" i="1"/>
  <c r="AB150" i="1"/>
  <c r="AA150" i="1"/>
  <c r="Z150" i="1"/>
  <c r="W150" i="1"/>
  <c r="V150" i="1"/>
  <c r="AD150" i="1" s="1"/>
  <c r="AC149" i="1"/>
  <c r="AB149" i="1"/>
  <c r="AA149" i="1"/>
  <c r="Z149" i="1"/>
  <c r="Y149" i="1"/>
  <c r="X149" i="1"/>
  <c r="V149" i="1"/>
  <c r="W149" i="1" s="1"/>
  <c r="AC148" i="1"/>
  <c r="AB148" i="1"/>
  <c r="AA148" i="1"/>
  <c r="Z148" i="1"/>
  <c r="W148" i="1"/>
  <c r="X148" i="1" s="1"/>
  <c r="V148" i="1"/>
  <c r="AD148" i="1" s="1"/>
  <c r="AC147" i="1"/>
  <c r="AB147" i="1"/>
  <c r="AA147" i="1"/>
  <c r="Z147" i="1"/>
  <c r="W147" i="1"/>
  <c r="X147" i="1" s="1"/>
  <c r="V147" i="1"/>
  <c r="AD147" i="1" s="1"/>
  <c r="AC146" i="1"/>
  <c r="AB146" i="1"/>
  <c r="AA146" i="1"/>
  <c r="Z146" i="1"/>
  <c r="Y146" i="1"/>
  <c r="X146" i="1"/>
  <c r="W146" i="1"/>
  <c r="V146" i="1"/>
  <c r="AD146" i="1" s="1"/>
  <c r="AC145" i="1"/>
  <c r="AB145" i="1"/>
  <c r="AA145" i="1"/>
  <c r="Z145" i="1"/>
  <c r="Y145" i="1"/>
  <c r="V145" i="1"/>
  <c r="W145" i="1" s="1"/>
  <c r="X145" i="1" s="1"/>
  <c r="AC144" i="1"/>
  <c r="AB144" i="1"/>
  <c r="AA144" i="1"/>
  <c r="Z144" i="1"/>
  <c r="W144" i="1"/>
  <c r="X144" i="1" s="1"/>
  <c r="Y144" i="1" s="1"/>
  <c r="V144" i="1"/>
  <c r="AD144" i="1" s="1"/>
  <c r="AC143" i="1"/>
  <c r="AB143" i="1"/>
  <c r="AA143" i="1"/>
  <c r="Z143" i="1"/>
  <c r="X143" i="1"/>
  <c r="W143" i="1"/>
  <c r="Y143" i="1" s="1"/>
  <c r="V143" i="1"/>
  <c r="AD143" i="1" s="1"/>
  <c r="AC142" i="1"/>
  <c r="AB142" i="1"/>
  <c r="AA142" i="1"/>
  <c r="Z142" i="1"/>
  <c r="X142" i="1"/>
  <c r="W142" i="1"/>
  <c r="Y142" i="1" s="1"/>
  <c r="V142" i="1"/>
  <c r="AC141" i="1"/>
  <c r="AD141" i="1" s="1"/>
  <c r="AB141" i="1"/>
  <c r="AA141" i="1"/>
  <c r="Z141" i="1"/>
  <c r="Y141" i="1"/>
  <c r="X141" i="1"/>
  <c r="V141" i="1"/>
  <c r="W141" i="1" s="1"/>
  <c r="AC140" i="1"/>
  <c r="AD140" i="1" s="1"/>
  <c r="AB140" i="1"/>
  <c r="AA140" i="1"/>
  <c r="Z140" i="1"/>
  <c r="Y140" i="1"/>
  <c r="W140" i="1"/>
  <c r="X140" i="1" s="1"/>
  <c r="V140" i="1"/>
  <c r="AC139" i="1"/>
  <c r="AD139" i="1" s="1"/>
  <c r="AB139" i="1"/>
  <c r="AA139" i="1"/>
  <c r="Z139" i="1"/>
  <c r="X139" i="1"/>
  <c r="W139" i="1"/>
  <c r="V139" i="1"/>
  <c r="AC138" i="1"/>
  <c r="AD138" i="1" s="1"/>
  <c r="AB138" i="1"/>
  <c r="AA138" i="1"/>
  <c r="Z138" i="1"/>
  <c r="V138" i="1"/>
  <c r="W138" i="1" s="1"/>
  <c r="AC137" i="1"/>
  <c r="AB137" i="1"/>
  <c r="AA137" i="1"/>
  <c r="Z137" i="1"/>
  <c r="V137" i="1"/>
  <c r="W137" i="1" s="1"/>
  <c r="AD136" i="1"/>
  <c r="AC136" i="1"/>
  <c r="AB136" i="1"/>
  <c r="AA136" i="1"/>
  <c r="Z136" i="1"/>
  <c r="W136" i="1"/>
  <c r="V136" i="1"/>
  <c r="AC135" i="1"/>
  <c r="AB135" i="1"/>
  <c r="AA135" i="1"/>
  <c r="Z135" i="1"/>
  <c r="W135" i="1"/>
  <c r="X135" i="1" s="1"/>
  <c r="V135" i="1"/>
  <c r="AD135" i="1" s="1"/>
  <c r="AC134" i="1"/>
  <c r="AB134" i="1"/>
  <c r="AA134" i="1"/>
  <c r="Z134" i="1"/>
  <c r="X134" i="1"/>
  <c r="W134" i="1"/>
  <c r="V134" i="1"/>
  <c r="AD134" i="1" s="1"/>
  <c r="AC133" i="1"/>
  <c r="AB133" i="1"/>
  <c r="AA133" i="1"/>
  <c r="Z133" i="1"/>
  <c r="X133" i="1"/>
  <c r="Y133" i="1" s="1"/>
  <c r="V133" i="1"/>
  <c r="W133" i="1" s="1"/>
  <c r="AC132" i="1"/>
  <c r="AB132" i="1"/>
  <c r="AA132" i="1"/>
  <c r="Z132" i="1"/>
  <c r="Y132" i="1"/>
  <c r="W132" i="1"/>
  <c r="X132" i="1" s="1"/>
  <c r="V132" i="1"/>
  <c r="AD132" i="1" s="1"/>
  <c r="AC131" i="1"/>
  <c r="AB131" i="1"/>
  <c r="AA131" i="1"/>
  <c r="Z131" i="1"/>
  <c r="Y131" i="1"/>
  <c r="X131" i="1"/>
  <c r="W131" i="1"/>
  <c r="V131" i="1"/>
  <c r="AD131" i="1" s="1"/>
  <c r="AC130" i="1"/>
  <c r="AB130" i="1"/>
  <c r="AA130" i="1"/>
  <c r="Z130" i="1"/>
  <c r="Y130" i="1"/>
  <c r="V130" i="1"/>
  <c r="W130" i="1" s="1"/>
  <c r="X130" i="1" s="1"/>
  <c r="AC129" i="1"/>
  <c r="AB129" i="1"/>
  <c r="AA129" i="1"/>
  <c r="Z129" i="1"/>
  <c r="W129" i="1"/>
  <c r="X129" i="1" s="1"/>
  <c r="Y129" i="1" s="1"/>
  <c r="V129" i="1"/>
  <c r="AD129" i="1" s="1"/>
  <c r="AC128" i="1"/>
  <c r="AB128" i="1"/>
  <c r="AA128" i="1"/>
  <c r="Z128" i="1"/>
  <c r="X128" i="1"/>
  <c r="W128" i="1"/>
  <c r="Y128" i="1" s="1"/>
  <c r="V128" i="1"/>
  <c r="AD128" i="1" s="1"/>
  <c r="AC127" i="1"/>
  <c r="AB127" i="1"/>
  <c r="AA127" i="1"/>
  <c r="Z127" i="1"/>
  <c r="V127" i="1"/>
  <c r="AD127" i="1" s="1"/>
  <c r="AC126" i="1"/>
  <c r="AB126" i="1"/>
  <c r="AA126" i="1"/>
  <c r="Z126" i="1"/>
  <c r="V126" i="1"/>
  <c r="W126" i="1" s="1"/>
  <c r="AC125" i="1"/>
  <c r="AB125" i="1"/>
  <c r="AA125" i="1"/>
  <c r="Z125" i="1"/>
  <c r="V125" i="1"/>
  <c r="W125" i="1" s="1"/>
  <c r="AC124" i="1"/>
  <c r="AB124" i="1"/>
  <c r="AA124" i="1"/>
  <c r="Z124" i="1"/>
  <c r="W124" i="1"/>
  <c r="V124" i="1"/>
  <c r="AD124" i="1" s="1"/>
  <c r="AC123" i="1"/>
  <c r="AB123" i="1"/>
  <c r="AA123" i="1"/>
  <c r="Z123" i="1"/>
  <c r="X123" i="1"/>
  <c r="Y123" i="1" s="1"/>
  <c r="W123" i="1"/>
  <c r="V123" i="1"/>
  <c r="AD123" i="1" s="1"/>
  <c r="AC122" i="1"/>
  <c r="AB122" i="1"/>
  <c r="AA122" i="1"/>
  <c r="Z122" i="1"/>
  <c r="V122" i="1"/>
  <c r="W122" i="1" s="1"/>
  <c r="X122" i="1" s="1"/>
  <c r="AC121" i="1"/>
  <c r="AB121" i="1"/>
  <c r="AA121" i="1"/>
  <c r="Z121" i="1"/>
  <c r="W121" i="1"/>
  <c r="X121" i="1" s="1"/>
  <c r="Y121" i="1" s="1"/>
  <c r="V121" i="1"/>
  <c r="AD121" i="1" s="1"/>
  <c r="AC120" i="1"/>
  <c r="AB120" i="1"/>
  <c r="AA120" i="1"/>
  <c r="Z120" i="1"/>
  <c r="X120" i="1"/>
  <c r="W120" i="1"/>
  <c r="Y120" i="1" s="1"/>
  <c r="V120" i="1"/>
  <c r="AD120" i="1" s="1"/>
  <c r="AC119" i="1"/>
  <c r="AB119" i="1"/>
  <c r="AA119" i="1"/>
  <c r="Z119" i="1"/>
  <c r="V119" i="1"/>
  <c r="AC118" i="1"/>
  <c r="AB118" i="1"/>
  <c r="AA118" i="1"/>
  <c r="Z118" i="1"/>
  <c r="V118" i="1"/>
  <c r="W118" i="1" s="1"/>
  <c r="AD117" i="1"/>
  <c r="AC117" i="1"/>
  <c r="AB117" i="1"/>
  <c r="AA117" i="1"/>
  <c r="Z117" i="1"/>
  <c r="W117" i="1"/>
  <c r="V117" i="1"/>
  <c r="AC116" i="1"/>
  <c r="AB116" i="1"/>
  <c r="AA116" i="1"/>
  <c r="Z116" i="1"/>
  <c r="X116" i="1"/>
  <c r="W116" i="1"/>
  <c r="V116" i="1"/>
  <c r="AD116" i="1" s="1"/>
  <c r="AC115" i="1"/>
  <c r="AB115" i="1"/>
  <c r="AA115" i="1"/>
  <c r="Z115" i="1"/>
  <c r="X115" i="1"/>
  <c r="Y115" i="1" s="1"/>
  <c r="W115" i="1"/>
  <c r="V115" i="1"/>
  <c r="AD115" i="1" s="1"/>
  <c r="AC114" i="1"/>
  <c r="AB114" i="1"/>
  <c r="AA114" i="1"/>
  <c r="Z114" i="1"/>
  <c r="V114" i="1"/>
  <c r="W114" i="1" s="1"/>
  <c r="X114" i="1" s="1"/>
  <c r="AC113" i="1"/>
  <c r="AB113" i="1"/>
  <c r="AA113" i="1"/>
  <c r="Z113" i="1"/>
  <c r="W113" i="1"/>
  <c r="X113" i="1" s="1"/>
  <c r="Y113" i="1" s="1"/>
  <c r="V113" i="1"/>
  <c r="AD113" i="1" s="1"/>
  <c r="AC112" i="1"/>
  <c r="AB112" i="1"/>
  <c r="AA112" i="1"/>
  <c r="Z112" i="1"/>
  <c r="X112" i="1"/>
  <c r="W112" i="1"/>
  <c r="Y112" i="1" s="1"/>
  <c r="V112" i="1"/>
  <c r="AD112" i="1" s="1"/>
  <c r="AC111" i="1"/>
  <c r="AB111" i="1"/>
  <c r="AA111" i="1"/>
  <c r="Z111" i="1"/>
  <c r="V111" i="1"/>
  <c r="W111" i="1" s="1"/>
  <c r="AC110" i="1"/>
  <c r="AB110" i="1"/>
  <c r="AA110" i="1"/>
  <c r="Z110" i="1"/>
  <c r="V110" i="1"/>
  <c r="W110" i="1" s="1"/>
  <c r="AC109" i="1"/>
  <c r="AB109" i="1"/>
  <c r="AA109" i="1"/>
  <c r="Z109" i="1"/>
  <c r="V109" i="1"/>
  <c r="W109" i="1" s="1"/>
  <c r="AC108" i="1"/>
  <c r="AB108" i="1"/>
  <c r="AA108" i="1"/>
  <c r="Z108" i="1"/>
  <c r="W108" i="1"/>
  <c r="X108" i="1" s="1"/>
  <c r="V108" i="1"/>
  <c r="AD108" i="1" s="1"/>
  <c r="AC107" i="1"/>
  <c r="AB107" i="1"/>
  <c r="AA107" i="1"/>
  <c r="Z107" i="1"/>
  <c r="X107" i="1"/>
  <c r="Y107" i="1" s="1"/>
  <c r="W107" i="1"/>
  <c r="V107" i="1"/>
  <c r="AD107" i="1" s="1"/>
  <c r="AC106" i="1"/>
  <c r="AB106" i="1"/>
  <c r="AA106" i="1"/>
  <c r="Z106" i="1"/>
  <c r="V106" i="1"/>
  <c r="W106" i="1" s="1"/>
  <c r="X106" i="1" s="1"/>
  <c r="AC105" i="1"/>
  <c r="AB105" i="1"/>
  <c r="AA105" i="1"/>
  <c r="Z105" i="1"/>
  <c r="W105" i="1"/>
  <c r="X105" i="1" s="1"/>
  <c r="Y105" i="1" s="1"/>
  <c r="V105" i="1"/>
  <c r="AD105" i="1" s="1"/>
  <c r="AC104" i="1"/>
  <c r="AB104" i="1"/>
  <c r="AA104" i="1"/>
  <c r="Z104" i="1"/>
  <c r="X104" i="1"/>
  <c r="W104" i="1"/>
  <c r="Y104" i="1" s="1"/>
  <c r="V104" i="1"/>
  <c r="AD104" i="1" s="1"/>
  <c r="AC103" i="1"/>
  <c r="AB103" i="1"/>
  <c r="AA103" i="1"/>
  <c r="Z103" i="1"/>
  <c r="V103" i="1"/>
  <c r="AC102" i="1"/>
  <c r="AB102" i="1"/>
  <c r="AA102" i="1"/>
  <c r="Z102" i="1"/>
  <c r="V102" i="1"/>
  <c r="W102" i="1" s="1"/>
  <c r="AD101" i="1"/>
  <c r="AC101" i="1"/>
  <c r="AB101" i="1"/>
  <c r="AA101" i="1"/>
  <c r="Z101" i="1"/>
  <c r="W101" i="1"/>
  <c r="V101" i="1"/>
  <c r="AC100" i="1"/>
  <c r="AB100" i="1"/>
  <c r="AA100" i="1"/>
  <c r="Z100" i="1"/>
  <c r="X100" i="1"/>
  <c r="W100" i="1"/>
  <c r="V100" i="1"/>
  <c r="AD100" i="1" s="1"/>
  <c r="AC99" i="1"/>
  <c r="AB99" i="1"/>
  <c r="AA99" i="1"/>
  <c r="Z99" i="1"/>
  <c r="X99" i="1"/>
  <c r="Y99" i="1" s="1"/>
  <c r="W99" i="1"/>
  <c r="V99" i="1"/>
  <c r="AD99" i="1" s="1"/>
  <c r="AC98" i="1"/>
  <c r="AB98" i="1"/>
  <c r="AA98" i="1"/>
  <c r="Z98" i="1"/>
  <c r="V98" i="1"/>
  <c r="W98" i="1" s="1"/>
  <c r="X98" i="1" s="1"/>
  <c r="AC97" i="1"/>
  <c r="AB97" i="1"/>
  <c r="AA97" i="1"/>
  <c r="Z97" i="1"/>
  <c r="W97" i="1"/>
  <c r="X97" i="1" s="1"/>
  <c r="Y97" i="1" s="1"/>
  <c r="V97" i="1"/>
  <c r="AD97" i="1" s="1"/>
  <c r="AC96" i="1"/>
  <c r="AB96" i="1"/>
  <c r="AA96" i="1"/>
  <c r="Z96" i="1"/>
  <c r="X96" i="1"/>
  <c r="W96" i="1"/>
  <c r="Y96" i="1" s="1"/>
  <c r="V96" i="1"/>
  <c r="AD96" i="1" s="1"/>
  <c r="AC95" i="1"/>
  <c r="AB95" i="1"/>
  <c r="AA95" i="1"/>
  <c r="Z95" i="1"/>
  <c r="V95" i="1"/>
  <c r="AD95" i="1" s="1"/>
  <c r="AC94" i="1"/>
  <c r="AB94" i="1"/>
  <c r="AA94" i="1"/>
  <c r="Z94" i="1"/>
  <c r="V94" i="1"/>
  <c r="W94" i="1" s="1"/>
  <c r="AC93" i="1"/>
  <c r="AB93" i="1"/>
  <c r="AA93" i="1"/>
  <c r="Z93" i="1"/>
  <c r="V93" i="1"/>
  <c r="W93" i="1" s="1"/>
  <c r="AC92" i="1"/>
  <c r="AB92" i="1"/>
  <c r="AA92" i="1"/>
  <c r="Z92" i="1"/>
  <c r="W92" i="1"/>
  <c r="V92" i="1"/>
  <c r="AD92" i="1" s="1"/>
  <c r="AC91" i="1"/>
  <c r="AB91" i="1"/>
  <c r="AA91" i="1"/>
  <c r="Z91" i="1"/>
  <c r="X91" i="1"/>
  <c r="Y91" i="1" s="1"/>
  <c r="W91" i="1"/>
  <c r="V91" i="1"/>
  <c r="AD91" i="1" s="1"/>
  <c r="AC90" i="1"/>
  <c r="AB90" i="1"/>
  <c r="AA90" i="1"/>
  <c r="Z90" i="1"/>
  <c r="V90" i="1"/>
  <c r="W90" i="1" s="1"/>
  <c r="X90" i="1" s="1"/>
  <c r="AC89" i="1"/>
  <c r="AB89" i="1"/>
  <c r="AA89" i="1"/>
  <c r="Z89" i="1"/>
  <c r="W89" i="1"/>
  <c r="X89" i="1" s="1"/>
  <c r="Y89" i="1" s="1"/>
  <c r="V89" i="1"/>
  <c r="AD89" i="1" s="1"/>
  <c r="AC88" i="1"/>
  <c r="AB88" i="1"/>
  <c r="AA88" i="1"/>
  <c r="Z88" i="1"/>
  <c r="X88" i="1"/>
  <c r="W88" i="1"/>
  <c r="Y88" i="1" s="1"/>
  <c r="V88" i="1"/>
  <c r="AD88" i="1" s="1"/>
  <c r="AC87" i="1"/>
  <c r="AB87" i="1"/>
  <c r="AA87" i="1"/>
  <c r="Z87" i="1"/>
  <c r="V87" i="1"/>
  <c r="AC86" i="1"/>
  <c r="AB86" i="1"/>
  <c r="AA86" i="1"/>
  <c r="Z86" i="1"/>
  <c r="V86" i="1"/>
  <c r="W86" i="1" s="1"/>
  <c r="AD85" i="1"/>
  <c r="AC85" i="1"/>
  <c r="AB85" i="1"/>
  <c r="AA85" i="1"/>
  <c r="Z85" i="1"/>
  <c r="W85" i="1"/>
  <c r="V85" i="1"/>
  <c r="AC84" i="1"/>
  <c r="AB84" i="1"/>
  <c r="AA84" i="1"/>
  <c r="Z84" i="1"/>
  <c r="X84" i="1"/>
  <c r="W84" i="1"/>
  <c r="V84" i="1"/>
  <c r="AD84" i="1" s="1"/>
  <c r="AC83" i="1"/>
  <c r="AB83" i="1"/>
  <c r="AA83" i="1"/>
  <c r="Z83" i="1"/>
  <c r="X83" i="1"/>
  <c r="Y83" i="1" s="1"/>
  <c r="W83" i="1"/>
  <c r="V83" i="1"/>
  <c r="AD83" i="1" s="1"/>
  <c r="AC82" i="1"/>
  <c r="AB82" i="1"/>
  <c r="AA82" i="1"/>
  <c r="Z82" i="1"/>
  <c r="V82" i="1"/>
  <c r="W82" i="1" s="1"/>
  <c r="X82" i="1" s="1"/>
  <c r="AC81" i="1"/>
  <c r="AB81" i="1"/>
  <c r="AA81" i="1"/>
  <c r="Z81" i="1"/>
  <c r="W81" i="1"/>
  <c r="X81" i="1" s="1"/>
  <c r="Y81" i="1" s="1"/>
  <c r="V81" i="1"/>
  <c r="AD81" i="1" s="1"/>
  <c r="AC80" i="1"/>
  <c r="AB80" i="1"/>
  <c r="AA80" i="1"/>
  <c r="Z80" i="1"/>
  <c r="X80" i="1"/>
  <c r="W80" i="1"/>
  <c r="Y80" i="1" s="1"/>
  <c r="V80" i="1"/>
  <c r="AD80" i="1" s="1"/>
  <c r="AC79" i="1"/>
  <c r="AB79" i="1"/>
  <c r="AA79" i="1"/>
  <c r="Z79" i="1"/>
  <c r="V79" i="1"/>
  <c r="W79" i="1" s="1"/>
  <c r="AC78" i="1"/>
  <c r="AB78" i="1"/>
  <c r="AA78" i="1"/>
  <c r="Z78" i="1"/>
  <c r="V78" i="1"/>
  <c r="W78" i="1" s="1"/>
  <c r="AC77" i="1"/>
  <c r="AB77" i="1"/>
  <c r="AA77" i="1"/>
  <c r="Z77" i="1"/>
  <c r="V77" i="1"/>
  <c r="W77" i="1" s="1"/>
  <c r="AC76" i="1"/>
  <c r="AB76" i="1"/>
  <c r="AA76" i="1"/>
  <c r="Z76" i="1"/>
  <c r="W76" i="1"/>
  <c r="V76" i="1"/>
  <c r="AD76" i="1" s="1"/>
  <c r="AC75" i="1"/>
  <c r="AB75" i="1"/>
  <c r="AA75" i="1"/>
  <c r="Z75" i="1"/>
  <c r="X75" i="1"/>
  <c r="Y75" i="1" s="1"/>
  <c r="W75" i="1"/>
  <c r="V75" i="1"/>
  <c r="AD75" i="1" s="1"/>
  <c r="AC74" i="1"/>
  <c r="AB74" i="1"/>
  <c r="AA74" i="1"/>
  <c r="Z74" i="1"/>
  <c r="V74" i="1"/>
  <c r="W74" i="1" s="1"/>
  <c r="X74" i="1" s="1"/>
  <c r="AC73" i="1"/>
  <c r="AB73" i="1"/>
  <c r="AA73" i="1"/>
  <c r="Z73" i="1"/>
  <c r="W73" i="1"/>
  <c r="X73" i="1" s="1"/>
  <c r="Y73" i="1" s="1"/>
  <c r="V73" i="1"/>
  <c r="AD73" i="1" s="1"/>
  <c r="AC72" i="1"/>
  <c r="AB72" i="1"/>
  <c r="AA72" i="1"/>
  <c r="Z72" i="1"/>
  <c r="X72" i="1"/>
  <c r="W72" i="1"/>
  <c r="Y72" i="1" s="1"/>
  <c r="V72" i="1"/>
  <c r="AD72" i="1" s="1"/>
  <c r="AC71" i="1"/>
  <c r="AB71" i="1"/>
  <c r="AA71" i="1"/>
  <c r="Z71" i="1"/>
  <c r="V71" i="1"/>
  <c r="AC70" i="1"/>
  <c r="AB70" i="1"/>
  <c r="AA70" i="1"/>
  <c r="Z70" i="1"/>
  <c r="V70" i="1"/>
  <c r="W70" i="1" s="1"/>
  <c r="AD69" i="1"/>
  <c r="AC69" i="1"/>
  <c r="AB69" i="1"/>
  <c r="AA69" i="1"/>
  <c r="Z69" i="1"/>
  <c r="W69" i="1"/>
  <c r="V69" i="1"/>
  <c r="AC68" i="1"/>
  <c r="AB68" i="1"/>
  <c r="AA68" i="1"/>
  <c r="Z68" i="1"/>
  <c r="X68" i="1"/>
  <c r="W68" i="1"/>
  <c r="V68" i="1"/>
  <c r="AD68" i="1" s="1"/>
  <c r="AC67" i="1"/>
  <c r="AB67" i="1"/>
  <c r="AA67" i="1"/>
  <c r="Z67" i="1"/>
  <c r="X67" i="1"/>
  <c r="Y67" i="1" s="1"/>
  <c r="W67" i="1"/>
  <c r="V67" i="1"/>
  <c r="AD67" i="1" s="1"/>
  <c r="AC66" i="1"/>
  <c r="AB66" i="1"/>
  <c r="AA66" i="1"/>
  <c r="Z66" i="1"/>
  <c r="V66" i="1"/>
  <c r="W66" i="1" s="1"/>
  <c r="X66" i="1" s="1"/>
  <c r="AC65" i="1"/>
  <c r="AB65" i="1"/>
  <c r="AA65" i="1"/>
  <c r="Z65" i="1"/>
  <c r="W65" i="1"/>
  <c r="X65" i="1" s="1"/>
  <c r="Y65" i="1" s="1"/>
  <c r="V65" i="1"/>
  <c r="AD65" i="1" s="1"/>
  <c r="AC64" i="1"/>
  <c r="AB64" i="1"/>
  <c r="AA64" i="1"/>
  <c r="Z64" i="1"/>
  <c r="X64" i="1"/>
  <c r="W64" i="1"/>
  <c r="Y64" i="1" s="1"/>
  <c r="V64" i="1"/>
  <c r="AD64" i="1" s="1"/>
  <c r="AC63" i="1"/>
  <c r="AB63" i="1"/>
  <c r="AA63" i="1"/>
  <c r="Z63" i="1"/>
  <c r="V63" i="1"/>
  <c r="AD63" i="1" s="1"/>
  <c r="AC62" i="1"/>
  <c r="AB62" i="1"/>
  <c r="AA62" i="1"/>
  <c r="Z62" i="1"/>
  <c r="V62" i="1"/>
  <c r="W62" i="1" s="1"/>
  <c r="AC61" i="1"/>
  <c r="AB61" i="1"/>
  <c r="AA61" i="1"/>
  <c r="Z61" i="1"/>
  <c r="V61" i="1"/>
  <c r="W61" i="1" s="1"/>
  <c r="AC60" i="1"/>
  <c r="AB60" i="1"/>
  <c r="AA60" i="1"/>
  <c r="Z60" i="1"/>
  <c r="W60" i="1"/>
  <c r="X60" i="1" s="1"/>
  <c r="V60" i="1"/>
  <c r="AD60" i="1" s="1"/>
  <c r="AC59" i="1"/>
  <c r="AB59" i="1"/>
  <c r="AA59" i="1"/>
  <c r="Z59" i="1"/>
  <c r="X59" i="1"/>
  <c r="Y59" i="1" s="1"/>
  <c r="W59" i="1"/>
  <c r="V59" i="1"/>
  <c r="AD59" i="1" s="1"/>
  <c r="AC58" i="1"/>
  <c r="AB58" i="1"/>
  <c r="AA58" i="1"/>
  <c r="Z58" i="1"/>
  <c r="V58" i="1"/>
  <c r="W58" i="1" s="1"/>
  <c r="X58" i="1" s="1"/>
  <c r="AC57" i="1"/>
  <c r="AB57" i="1"/>
  <c r="AA57" i="1"/>
  <c r="Z57" i="1"/>
  <c r="W57" i="1"/>
  <c r="X57" i="1" s="1"/>
  <c r="Y57" i="1" s="1"/>
  <c r="V57" i="1"/>
  <c r="AD57" i="1" s="1"/>
  <c r="AC56" i="1"/>
  <c r="AB56" i="1"/>
  <c r="AA56" i="1"/>
  <c r="Z56" i="1"/>
  <c r="X56" i="1"/>
  <c r="W56" i="1"/>
  <c r="Y56" i="1" s="1"/>
  <c r="V56" i="1"/>
  <c r="AD56" i="1" s="1"/>
  <c r="AC55" i="1"/>
  <c r="AB55" i="1"/>
  <c r="AA55" i="1"/>
  <c r="Z55" i="1"/>
  <c r="V55" i="1"/>
  <c r="AC54" i="1"/>
  <c r="AB54" i="1"/>
  <c r="AA54" i="1"/>
  <c r="Z54" i="1"/>
  <c r="V54" i="1"/>
  <c r="W54" i="1" s="1"/>
  <c r="AD53" i="1"/>
  <c r="AC53" i="1"/>
  <c r="AB53" i="1"/>
  <c r="AA53" i="1"/>
  <c r="Z53" i="1"/>
  <c r="W53" i="1"/>
  <c r="V53" i="1"/>
  <c r="AC52" i="1"/>
  <c r="AB52" i="1"/>
  <c r="AA52" i="1"/>
  <c r="Z52" i="1"/>
  <c r="X52" i="1"/>
  <c r="W52" i="1"/>
  <c r="V52" i="1"/>
  <c r="AD52" i="1" s="1"/>
  <c r="AC51" i="1"/>
  <c r="AB51" i="1"/>
  <c r="AA51" i="1"/>
  <c r="Z51" i="1"/>
  <c r="X51" i="1"/>
  <c r="Y51" i="1" s="1"/>
  <c r="W51" i="1"/>
  <c r="V51" i="1"/>
  <c r="AD51" i="1" s="1"/>
  <c r="AD50" i="1"/>
  <c r="AC50" i="1"/>
  <c r="AB50" i="1"/>
  <c r="AA50" i="1"/>
  <c r="Z50" i="1"/>
  <c r="Y50" i="1"/>
  <c r="V50" i="1"/>
  <c r="W50" i="1" s="1"/>
  <c r="X50" i="1" s="1"/>
  <c r="AC49" i="1"/>
  <c r="AB49" i="1"/>
  <c r="AA49" i="1"/>
  <c r="Z49" i="1"/>
  <c r="W49" i="1"/>
  <c r="X49" i="1" s="1"/>
  <c r="Y49" i="1" s="1"/>
  <c r="V49" i="1"/>
  <c r="AD49" i="1" s="1"/>
  <c r="AC48" i="1"/>
  <c r="AB48" i="1"/>
  <c r="AA48" i="1"/>
  <c r="Z48" i="1"/>
  <c r="X48" i="1"/>
  <c r="Y48" i="1" s="1"/>
  <c r="W48" i="1"/>
  <c r="V48" i="1"/>
  <c r="AD48" i="1" s="1"/>
  <c r="AC47" i="1"/>
  <c r="AB47" i="1"/>
  <c r="AA47" i="1"/>
  <c r="Z47" i="1"/>
  <c r="V47" i="1"/>
  <c r="W47" i="1" s="1"/>
  <c r="AC46" i="1"/>
  <c r="AD46" i="1" s="1"/>
  <c r="AB46" i="1"/>
  <c r="AA46" i="1"/>
  <c r="Z46" i="1"/>
  <c r="V46" i="1"/>
  <c r="W46" i="1" s="1"/>
  <c r="AC45" i="1"/>
  <c r="AB45" i="1"/>
  <c r="AA45" i="1"/>
  <c r="Z45" i="1"/>
  <c r="V45" i="1"/>
  <c r="W45" i="1" s="1"/>
  <c r="AC44" i="1"/>
  <c r="AB44" i="1"/>
  <c r="AA44" i="1"/>
  <c r="Z44" i="1"/>
  <c r="X44" i="1"/>
  <c r="W44" i="1"/>
  <c r="V44" i="1"/>
  <c r="AD44" i="1" s="1"/>
  <c r="AC43" i="1"/>
  <c r="AB43" i="1"/>
  <c r="AA43" i="1"/>
  <c r="Z43" i="1"/>
  <c r="X43" i="1"/>
  <c r="Y43" i="1" s="1"/>
  <c r="W43" i="1"/>
  <c r="V43" i="1"/>
  <c r="AD43" i="1" s="1"/>
  <c r="AC42" i="1"/>
  <c r="AB42" i="1"/>
  <c r="AA42" i="1"/>
  <c r="Z42" i="1"/>
  <c r="V42" i="1"/>
  <c r="W42" i="1" s="1"/>
  <c r="X42" i="1" s="1"/>
  <c r="AC41" i="1"/>
  <c r="AB41" i="1"/>
  <c r="AA41" i="1"/>
  <c r="Z41" i="1"/>
  <c r="W41" i="1"/>
  <c r="X41" i="1" s="1"/>
  <c r="Y41" i="1" s="1"/>
  <c r="V41" i="1"/>
  <c r="AD41" i="1" s="1"/>
  <c r="AC40" i="1"/>
  <c r="AB40" i="1"/>
  <c r="AA40" i="1"/>
  <c r="Z40" i="1"/>
  <c r="X40" i="1"/>
  <c r="W40" i="1"/>
  <c r="Y40" i="1" s="1"/>
  <c r="V40" i="1"/>
  <c r="AD40" i="1" s="1"/>
  <c r="AC39" i="1"/>
  <c r="AB39" i="1"/>
  <c r="AA39" i="1"/>
  <c r="Z39" i="1"/>
  <c r="V39" i="1"/>
  <c r="AD39" i="1" s="1"/>
  <c r="AC38" i="1"/>
  <c r="AB38" i="1"/>
  <c r="AA38" i="1"/>
  <c r="Z38" i="1"/>
  <c r="V38" i="1"/>
  <c r="W38" i="1" s="1"/>
  <c r="AC37" i="1"/>
  <c r="AB37" i="1"/>
  <c r="AA37" i="1"/>
  <c r="Z37" i="1"/>
  <c r="V37" i="1"/>
  <c r="AD37" i="1" s="1"/>
  <c r="AC36" i="1"/>
  <c r="AB36" i="1"/>
  <c r="AA36" i="1"/>
  <c r="Z36" i="1"/>
  <c r="W36" i="1"/>
  <c r="V36" i="1"/>
  <c r="AD36" i="1" s="1"/>
  <c r="AC35" i="1"/>
  <c r="AB35" i="1"/>
  <c r="AA35" i="1"/>
  <c r="Z35" i="1"/>
  <c r="Y35" i="1"/>
  <c r="X35" i="1"/>
  <c r="W35" i="1"/>
  <c r="V35" i="1"/>
  <c r="AD35" i="1" s="1"/>
  <c r="AC34" i="1"/>
  <c r="AB34" i="1"/>
  <c r="AA34" i="1"/>
  <c r="Z34" i="1"/>
  <c r="Y34" i="1"/>
  <c r="V34" i="1"/>
  <c r="W34" i="1" s="1"/>
  <c r="X34" i="1" s="1"/>
  <c r="AC33" i="1"/>
  <c r="AB33" i="1"/>
  <c r="AA33" i="1"/>
  <c r="Z33" i="1"/>
  <c r="W33" i="1"/>
  <c r="X33" i="1" s="1"/>
  <c r="Y33" i="1" s="1"/>
  <c r="V33" i="1"/>
  <c r="AD33" i="1" s="1"/>
  <c r="AC32" i="1"/>
  <c r="AB32" i="1"/>
  <c r="AA32" i="1"/>
  <c r="Z32" i="1"/>
  <c r="X32" i="1"/>
  <c r="W32" i="1"/>
  <c r="Y32" i="1" s="1"/>
  <c r="V32" i="1"/>
  <c r="AD32" i="1" s="1"/>
  <c r="AC31" i="1"/>
  <c r="AB31" i="1"/>
  <c r="AA31" i="1"/>
  <c r="Z31" i="1"/>
  <c r="V31" i="1"/>
  <c r="AC30" i="1"/>
  <c r="AD30" i="1" s="1"/>
  <c r="AB30" i="1"/>
  <c r="AA30" i="1"/>
  <c r="Z30" i="1"/>
  <c r="V30" i="1"/>
  <c r="W30" i="1" s="1"/>
  <c r="AC29" i="1"/>
  <c r="AB29" i="1"/>
  <c r="AA29" i="1"/>
  <c r="Z29" i="1"/>
  <c r="V29" i="1"/>
  <c r="W29" i="1" s="1"/>
  <c r="AC28" i="1"/>
  <c r="AB28" i="1"/>
  <c r="AA28" i="1"/>
  <c r="Z28" i="1"/>
  <c r="X28" i="1"/>
  <c r="W28" i="1"/>
  <c r="V28" i="1"/>
  <c r="AD28" i="1" s="1"/>
  <c r="AC27" i="1"/>
  <c r="AB27" i="1"/>
  <c r="AA27" i="1"/>
  <c r="Z27" i="1"/>
  <c r="X27" i="1"/>
  <c r="Y27" i="1" s="1"/>
  <c r="W27" i="1"/>
  <c r="V27" i="1"/>
  <c r="AD27" i="1" s="1"/>
  <c r="AC26" i="1"/>
  <c r="AB26" i="1"/>
  <c r="AA26" i="1"/>
  <c r="Z26" i="1"/>
  <c r="V26" i="1"/>
  <c r="W26" i="1" s="1"/>
  <c r="X26" i="1" s="1"/>
  <c r="AC25" i="1"/>
  <c r="AB25" i="1"/>
  <c r="AA25" i="1"/>
  <c r="Z25" i="1"/>
  <c r="W25" i="1"/>
  <c r="X25" i="1" s="1"/>
  <c r="Y25" i="1" s="1"/>
  <c r="V25" i="1"/>
  <c r="AD25" i="1" s="1"/>
  <c r="AC24" i="1"/>
  <c r="AB24" i="1"/>
  <c r="AA24" i="1"/>
  <c r="Z24" i="1"/>
  <c r="X24" i="1"/>
  <c r="W24" i="1"/>
  <c r="Y24" i="1" s="1"/>
  <c r="V24" i="1"/>
  <c r="AD24" i="1" s="1"/>
  <c r="AC23" i="1"/>
  <c r="AB23" i="1"/>
  <c r="AA23" i="1"/>
  <c r="Z23" i="1"/>
  <c r="V23" i="1"/>
  <c r="AD23" i="1" s="1"/>
  <c r="AC22" i="1"/>
  <c r="AB22" i="1"/>
  <c r="AA22" i="1"/>
  <c r="Z22" i="1"/>
  <c r="V22" i="1"/>
  <c r="W22" i="1" s="1"/>
  <c r="AC21" i="1"/>
  <c r="AB21" i="1"/>
  <c r="AA21" i="1"/>
  <c r="Z21" i="1"/>
  <c r="V21" i="1"/>
  <c r="AD21" i="1" s="1"/>
  <c r="AC20" i="1"/>
  <c r="AB20" i="1"/>
  <c r="AA20" i="1"/>
  <c r="Z20" i="1"/>
  <c r="W20" i="1"/>
  <c r="V20" i="1"/>
  <c r="AD20" i="1" s="1"/>
  <c r="AC19" i="1"/>
  <c r="AB19" i="1"/>
  <c r="AA19" i="1"/>
  <c r="Z19" i="1"/>
  <c r="Y19" i="1"/>
  <c r="X19" i="1"/>
  <c r="W19" i="1"/>
  <c r="V19" i="1"/>
  <c r="AD19" i="1" s="1"/>
  <c r="AC18" i="1"/>
  <c r="AB18" i="1"/>
  <c r="AA18" i="1"/>
  <c r="Z18" i="1"/>
  <c r="Y18" i="1"/>
  <c r="V18" i="1"/>
  <c r="W18" i="1" s="1"/>
  <c r="X18" i="1" s="1"/>
  <c r="AC17" i="1"/>
  <c r="AB17" i="1"/>
  <c r="AA17" i="1"/>
  <c r="Z17" i="1"/>
  <c r="W17" i="1"/>
  <c r="X17" i="1" s="1"/>
  <c r="Y17" i="1" s="1"/>
  <c r="V17" i="1"/>
  <c r="AD17" i="1" s="1"/>
  <c r="AC16" i="1"/>
  <c r="AB16" i="1"/>
  <c r="AA16" i="1"/>
  <c r="Z16" i="1"/>
  <c r="X16" i="1"/>
  <c r="W16" i="1"/>
  <c r="Y16" i="1" s="1"/>
  <c r="V16" i="1"/>
  <c r="AD16" i="1" s="1"/>
  <c r="AC15" i="1"/>
  <c r="AB15" i="1"/>
  <c r="AA15" i="1"/>
  <c r="Z15" i="1"/>
  <c r="V15" i="1"/>
  <c r="AC14" i="1"/>
  <c r="AD14" i="1" s="1"/>
  <c r="AB14" i="1"/>
  <c r="AA14" i="1"/>
  <c r="Z14" i="1"/>
  <c r="V14" i="1"/>
  <c r="W14" i="1" s="1"/>
  <c r="AC13" i="1"/>
  <c r="AB13" i="1"/>
  <c r="AA13" i="1"/>
  <c r="Z13" i="1"/>
  <c r="V13" i="1"/>
  <c r="W13" i="1" s="1"/>
  <c r="AC12" i="1"/>
  <c r="AB12" i="1"/>
  <c r="AA12" i="1"/>
  <c r="Z12" i="1"/>
  <c r="X12" i="1"/>
  <c r="W12" i="1"/>
  <c r="V12" i="1"/>
  <c r="AD12" i="1" s="1"/>
  <c r="AC11" i="1"/>
  <c r="AB11" i="1"/>
  <c r="AA11" i="1"/>
  <c r="Z11" i="1"/>
  <c r="X11" i="1"/>
  <c r="Y11" i="1" s="1"/>
  <c r="W11" i="1"/>
  <c r="V11" i="1"/>
  <c r="AD11" i="1" s="1"/>
  <c r="AC10" i="1"/>
  <c r="AB10" i="1"/>
  <c r="AA10" i="1"/>
  <c r="Z10" i="1"/>
  <c r="V10" i="1"/>
  <c r="W10" i="1" s="1"/>
  <c r="X10" i="1" s="1"/>
  <c r="AC9" i="1"/>
  <c r="AB9" i="1"/>
  <c r="AA9" i="1"/>
  <c r="Z9" i="1"/>
  <c r="W9" i="1"/>
  <c r="X9" i="1" s="1"/>
  <c r="Y9" i="1" s="1"/>
  <c r="V9" i="1"/>
  <c r="AD9" i="1" s="1"/>
  <c r="AC8" i="1"/>
  <c r="AB8" i="1"/>
  <c r="AA8" i="1"/>
  <c r="Z8" i="1"/>
  <c r="X8" i="1"/>
  <c r="W8" i="1"/>
  <c r="Y8" i="1" s="1"/>
  <c r="V8" i="1"/>
  <c r="AD8" i="1" s="1"/>
  <c r="AC7" i="1"/>
  <c r="AB7" i="1"/>
  <c r="AA7" i="1"/>
  <c r="Z7" i="1"/>
  <c r="V7" i="1"/>
  <c r="AD7" i="1" s="1"/>
  <c r="AC6" i="1"/>
  <c r="AB6" i="1"/>
  <c r="AA6" i="1"/>
  <c r="Z6" i="1"/>
  <c r="V6" i="1"/>
  <c r="W6" i="1" s="1"/>
  <c r="AC5" i="1"/>
  <c r="AB5" i="1"/>
  <c r="AA5" i="1"/>
  <c r="Z5" i="1"/>
  <c r="V5" i="1"/>
  <c r="AD5" i="1" s="1"/>
  <c r="AC4" i="1"/>
  <c r="AB4" i="1"/>
  <c r="AA4" i="1"/>
  <c r="Z4" i="1"/>
  <c r="W4" i="1"/>
  <c r="V4" i="1"/>
  <c r="AD4" i="1" s="1"/>
  <c r="AC3" i="1"/>
  <c r="AB3" i="1"/>
  <c r="AA3" i="1"/>
  <c r="Z3" i="1"/>
  <c r="Y3" i="1"/>
  <c r="X3" i="1"/>
  <c r="W3" i="1"/>
  <c r="V3" i="1"/>
  <c r="AD3" i="1" s="1"/>
  <c r="AC2" i="1"/>
  <c r="AB2" i="1"/>
  <c r="AA2" i="1"/>
  <c r="Z2" i="1"/>
  <c r="Y2" i="1"/>
  <c r="V2" i="1"/>
  <c r="W2" i="1" s="1"/>
  <c r="X2" i="1" s="1"/>
  <c r="X13" i="1" l="1"/>
  <c r="Y13" i="1"/>
  <c r="X29" i="1"/>
  <c r="Y29" i="1" s="1"/>
  <c r="X61" i="1"/>
  <c r="Y61" i="1" s="1"/>
  <c r="X152" i="1"/>
  <c r="Y152" i="1"/>
  <c r="X125" i="1"/>
  <c r="Y125" i="1"/>
  <c r="Y109" i="1"/>
  <c r="X109" i="1"/>
  <c r="X93" i="1"/>
  <c r="Y93" i="1" s="1"/>
  <c r="X45" i="1"/>
  <c r="Y45" i="1"/>
  <c r="X77" i="1"/>
  <c r="Y77" i="1"/>
  <c r="Y38" i="1"/>
  <c r="X38" i="1"/>
  <c r="Y240" i="1"/>
  <c r="X240" i="1"/>
  <c r="X809" i="1"/>
  <c r="Y809" i="1"/>
  <c r="Y26" i="1"/>
  <c r="Y42" i="1"/>
  <c r="Y54" i="1"/>
  <c r="X54" i="1"/>
  <c r="X223" i="1"/>
  <c r="Y223" i="1" s="1"/>
  <c r="Y258" i="1"/>
  <c r="X258" i="1"/>
  <c r="W5" i="1"/>
  <c r="AD15" i="1"/>
  <c r="W21" i="1"/>
  <c r="AD31" i="1"/>
  <c r="W37" i="1"/>
  <c r="X47" i="1"/>
  <c r="Y47" i="1" s="1"/>
  <c r="Y58" i="1"/>
  <c r="AD62" i="1"/>
  <c r="Y74" i="1"/>
  <c r="AD78" i="1"/>
  <c r="Y90" i="1"/>
  <c r="AD94" i="1"/>
  <c r="Y106" i="1"/>
  <c r="AD110" i="1"/>
  <c r="Y122" i="1"/>
  <c r="AD126" i="1"/>
  <c r="Y134" i="1"/>
  <c r="X153" i="1"/>
  <c r="Y153" i="1" s="1"/>
  <c r="Y166" i="1"/>
  <c r="X171" i="1"/>
  <c r="Y171" i="1" s="1"/>
  <c r="Y230" i="1"/>
  <c r="X230" i="1"/>
  <c r="Y239" i="1"/>
  <c r="X239" i="1"/>
  <c r="X314" i="1"/>
  <c r="Y314" i="1" s="1"/>
  <c r="X6" i="1"/>
  <c r="Y6" i="1" s="1"/>
  <c r="Y10" i="1"/>
  <c r="Y147" i="1"/>
  <c r="X186" i="1"/>
  <c r="Y186" i="1"/>
  <c r="Y189" i="1"/>
  <c r="X189" i="1"/>
  <c r="X69" i="1"/>
  <c r="Y69" i="1" s="1"/>
  <c r="X79" i="1"/>
  <c r="Y79" i="1" s="1"/>
  <c r="X85" i="1"/>
  <c r="Y85" i="1"/>
  <c r="X101" i="1"/>
  <c r="Y101" i="1" s="1"/>
  <c r="X111" i="1"/>
  <c r="Y111" i="1" s="1"/>
  <c r="X117" i="1"/>
  <c r="Y117" i="1" s="1"/>
  <c r="AD137" i="1"/>
  <c r="AD169" i="1"/>
  <c r="Y174" i="1"/>
  <c r="X174" i="1"/>
  <c r="Y199" i="1"/>
  <c r="X199" i="1"/>
  <c r="X202" i="1"/>
  <c r="Y202" i="1"/>
  <c r="Y238" i="1"/>
  <c r="Y92" i="1"/>
  <c r="Y102" i="1"/>
  <c r="X102" i="1"/>
  <c r="AD13" i="1"/>
  <c r="AD29" i="1"/>
  <c r="AD45" i="1"/>
  <c r="X53" i="1"/>
  <c r="Y53" i="1" s="1"/>
  <c r="X4" i="1"/>
  <c r="Y4" i="1" s="1"/>
  <c r="Y14" i="1"/>
  <c r="X14" i="1"/>
  <c r="X20" i="1"/>
  <c r="Y20" i="1" s="1"/>
  <c r="X30" i="1"/>
  <c r="Y30" i="1" s="1"/>
  <c r="X36" i="1"/>
  <c r="Y36" i="1" s="1"/>
  <c r="X46" i="1"/>
  <c r="Y46" i="1" s="1"/>
  <c r="Y52" i="1"/>
  <c r="AD61" i="1"/>
  <c r="Y68" i="1"/>
  <c r="AD77" i="1"/>
  <c r="Y84" i="1"/>
  <c r="AD93" i="1"/>
  <c r="Y100" i="1"/>
  <c r="AD109" i="1"/>
  <c r="Y116" i="1"/>
  <c r="AD125" i="1"/>
  <c r="Y138" i="1"/>
  <c r="X138" i="1"/>
  <c r="X170" i="1"/>
  <c r="Y170" i="1"/>
  <c r="X185" i="1"/>
  <c r="Y185" i="1" s="1"/>
  <c r="Y205" i="1"/>
  <c r="X205" i="1"/>
  <c r="X208" i="1"/>
  <c r="Y208" i="1" s="1"/>
  <c r="Y60" i="1"/>
  <c r="Y76" i="1"/>
  <c r="Y108" i="1"/>
  <c r="X136" i="1"/>
  <c r="Y136" i="1" s="1"/>
  <c r="Y167" i="1"/>
  <c r="X183" i="1"/>
  <c r="Y183" i="1" s="1"/>
  <c r="AD6" i="1"/>
  <c r="AD38" i="1"/>
  <c r="Y78" i="1"/>
  <c r="X78" i="1"/>
  <c r="X94" i="1"/>
  <c r="Y94" i="1" s="1"/>
  <c r="X110" i="1"/>
  <c r="Y110" i="1" s="1"/>
  <c r="Y126" i="1"/>
  <c r="X126" i="1"/>
  <c r="Y151" i="1"/>
  <c r="W245" i="1"/>
  <c r="AD245" i="1"/>
  <c r="W279" i="1"/>
  <c r="AD279" i="1"/>
  <c r="X298" i="1"/>
  <c r="Y298" i="1" s="1"/>
  <c r="Y22" i="1"/>
  <c r="X22" i="1"/>
  <c r="Y70" i="1"/>
  <c r="X70" i="1"/>
  <c r="X76" i="1"/>
  <c r="Y118" i="1"/>
  <c r="X118" i="1"/>
  <c r="X124" i="1"/>
  <c r="Y124" i="1" s="1"/>
  <c r="Y135" i="1"/>
  <c r="Y148" i="1"/>
  <c r="AD22" i="1"/>
  <c r="AD54" i="1"/>
  <c r="Y66" i="1"/>
  <c r="AD70" i="1"/>
  <c r="Y82" i="1"/>
  <c r="AD86" i="1"/>
  <c r="Y98" i="1"/>
  <c r="AD102" i="1"/>
  <c r="Y114" i="1"/>
  <c r="AD118" i="1"/>
  <c r="X137" i="1"/>
  <c r="Y137" i="1" s="1"/>
  <c r="X163" i="1"/>
  <c r="Y163" i="1" s="1"/>
  <c r="X169" i="1"/>
  <c r="Y169" i="1" s="1"/>
  <c r="W181" i="1"/>
  <c r="AD181" i="1"/>
  <c r="AD183" i="1"/>
  <c r="Y187" i="1"/>
  <c r="X190" i="1"/>
  <c r="Y190" i="1" s="1"/>
  <c r="Y198" i="1"/>
  <c r="X201" i="1"/>
  <c r="Y201" i="1" s="1"/>
  <c r="X224" i="1"/>
  <c r="Y224" i="1"/>
  <c r="W227" i="1"/>
  <c r="AD227" i="1"/>
  <c r="W327" i="1"/>
  <c r="AD327" i="1"/>
  <c r="X354" i="1"/>
  <c r="Y354" i="1" s="1"/>
  <c r="X369" i="1"/>
  <c r="Y369" i="1" s="1"/>
  <c r="Y168" i="1"/>
  <c r="X168" i="1"/>
  <c r="W451" i="1"/>
  <c r="AD451" i="1"/>
  <c r="X86" i="1"/>
  <c r="Y86" i="1" s="1"/>
  <c r="X92" i="1"/>
  <c r="X200" i="1"/>
  <c r="Y200" i="1" s="1"/>
  <c r="X62" i="1"/>
  <c r="Y62" i="1" s="1"/>
  <c r="Y12" i="1"/>
  <c r="Y28" i="1"/>
  <c r="Y44" i="1"/>
  <c r="AD55" i="1"/>
  <c r="AD71" i="1"/>
  <c r="AD87" i="1"/>
  <c r="AD103" i="1"/>
  <c r="AD119" i="1"/>
  <c r="X150" i="1"/>
  <c r="Y150" i="1" s="1"/>
  <c r="AD153" i="1"/>
  <c r="Y161" i="1"/>
  <c r="AD171" i="1"/>
  <c r="AD184" i="1"/>
  <c r="Y197" i="1"/>
  <c r="X207" i="1"/>
  <c r="Y207" i="1" s="1"/>
  <c r="X215" i="1"/>
  <c r="Y215" i="1" s="1"/>
  <c r="X490" i="1"/>
  <c r="Y490" i="1"/>
  <c r="X851" i="1"/>
  <c r="Y851" i="1" s="1"/>
  <c r="AD47" i="1"/>
  <c r="AD79" i="1"/>
  <c r="W173" i="1"/>
  <c r="AD174" i="1"/>
  <c r="Y179" i="1"/>
  <c r="AD188" i="1"/>
  <c r="AD189" i="1"/>
  <c r="X216" i="1"/>
  <c r="Y216" i="1" s="1"/>
  <c r="W222" i="1"/>
  <c r="Y226" i="1"/>
  <c r="W307" i="1"/>
  <c r="AD307" i="1"/>
  <c r="X368" i="1"/>
  <c r="Y368" i="1" s="1"/>
  <c r="AD196" i="1"/>
  <c r="AD198" i="1"/>
  <c r="Y350" i="1"/>
  <c r="X350" i="1"/>
  <c r="W441" i="1"/>
  <c r="AD441" i="1"/>
  <c r="X485" i="1"/>
  <c r="Y485" i="1" s="1"/>
  <c r="W882" i="1"/>
  <c r="AD882" i="1"/>
  <c r="X904" i="1"/>
  <c r="Y904" i="1" s="1"/>
  <c r="AD111" i="1"/>
  <c r="X197" i="1"/>
  <c r="AD200" i="1"/>
  <c r="W318" i="1"/>
  <c r="Y326" i="1"/>
  <c r="X326" i="1"/>
  <c r="X394" i="1"/>
  <c r="Y394" i="1" s="1"/>
  <c r="W430" i="1"/>
  <c r="AD430" i="1"/>
  <c r="W7" i="1"/>
  <c r="W15" i="1"/>
  <c r="W23" i="1"/>
  <c r="W31" i="1"/>
  <c r="W39" i="1"/>
  <c r="W55" i="1"/>
  <c r="W63" i="1"/>
  <c r="W71" i="1"/>
  <c r="W87" i="1"/>
  <c r="W95" i="1"/>
  <c r="W103" i="1"/>
  <c r="W119" i="1"/>
  <c r="W127" i="1"/>
  <c r="AD142" i="1"/>
  <c r="W154" i="1"/>
  <c r="AD158" i="1"/>
  <c r="X172" i="1"/>
  <c r="Y172" i="1" s="1"/>
  <c r="Y177" i="1"/>
  <c r="Y178" i="1"/>
  <c r="Y182" i="1"/>
  <c r="X187" i="1"/>
  <c r="AD190" i="1"/>
  <c r="Y195" i="1"/>
  <c r="X198" i="1"/>
  <c r="AD204" i="1"/>
  <c r="AD205" i="1"/>
  <c r="AD209" i="1"/>
  <c r="X213" i="1"/>
  <c r="Y213" i="1" s="1"/>
  <c r="Y214" i="1"/>
  <c r="X217" i="1"/>
  <c r="Y217" i="1" s="1"/>
  <c r="Y218" i="1"/>
  <c r="X220" i="1"/>
  <c r="Y220" i="1" s="1"/>
  <c r="X221" i="1"/>
  <c r="Y221" i="1" s="1"/>
  <c r="W255" i="1"/>
  <c r="X267" i="1"/>
  <c r="Y267" i="1" s="1"/>
  <c r="W278" i="1"/>
  <c r="X296" i="1"/>
  <c r="Y296" i="1" s="1"/>
  <c r="Y358" i="1"/>
  <c r="X358" i="1"/>
  <c r="W363" i="1"/>
  <c r="AD363" i="1"/>
  <c r="AD402" i="1"/>
  <c r="W402" i="1"/>
  <c r="Y297" i="1"/>
  <c r="W184" i="1"/>
  <c r="AD212" i="1"/>
  <c r="AD214" i="1"/>
  <c r="Y225" i="1"/>
  <c r="Y243" i="1"/>
  <c r="X243" i="1"/>
  <c r="Y139" i="1"/>
  <c r="Y155" i="1"/>
  <c r="Y175" i="1"/>
  <c r="Y193" i="1"/>
  <c r="Y194" i="1"/>
  <c r="AD207" i="1"/>
  <c r="AD208" i="1"/>
  <c r="X242" i="1"/>
  <c r="Y242" i="1" s="1"/>
  <c r="Y249" i="1"/>
  <c r="W254" i="1"/>
  <c r="AD276" i="1"/>
  <c r="X295" i="1"/>
  <c r="Y295" i="1"/>
  <c r="AD316" i="1"/>
  <c r="Y317" i="1"/>
  <c r="X317" i="1"/>
  <c r="X330" i="1"/>
  <c r="Y330" i="1" s="1"/>
  <c r="W335" i="1"/>
  <c r="AD335" i="1"/>
  <c r="Y357" i="1"/>
  <c r="AD172" i="1"/>
  <c r="Y257" i="1"/>
  <c r="X286" i="1"/>
  <c r="Y286" i="1" s="1"/>
  <c r="Y309" i="1"/>
  <c r="AD2" i="1"/>
  <c r="AD18" i="1"/>
  <c r="AD34" i="1"/>
  <c r="AD58" i="1"/>
  <c r="AD66" i="1"/>
  <c r="AD74" i="1"/>
  <c r="AD82" i="1"/>
  <c r="AD90" i="1"/>
  <c r="AD98" i="1"/>
  <c r="AD106" i="1"/>
  <c r="AD114" i="1"/>
  <c r="AD122" i="1"/>
  <c r="AD130" i="1"/>
  <c r="AD145" i="1"/>
  <c r="AD161" i="1"/>
  <c r="X266" i="1"/>
  <c r="Y266" i="1" s="1"/>
  <c r="Y306" i="1"/>
  <c r="X306" i="1"/>
  <c r="X342" i="1"/>
  <c r="Y342" i="1" s="1"/>
  <c r="X362" i="1"/>
  <c r="Y362" i="1" s="1"/>
  <c r="X375" i="1"/>
  <c r="Y375" i="1" s="1"/>
  <c r="Y410" i="1"/>
  <c r="X410" i="1"/>
  <c r="X423" i="1"/>
  <c r="Y423" i="1"/>
  <c r="AD348" i="1"/>
  <c r="AD10" i="1"/>
  <c r="AD26" i="1"/>
  <c r="AD42" i="1"/>
  <c r="AD133" i="1"/>
  <c r="AD149" i="1"/>
  <c r="AD165" i="1"/>
  <c r="X191" i="1"/>
  <c r="Y191" i="1" s="1"/>
  <c r="Y192" i="1"/>
  <c r="X206" i="1"/>
  <c r="Y206" i="1" s="1"/>
  <c r="X209" i="1"/>
  <c r="Y209" i="1" s="1"/>
  <c r="AD238" i="1"/>
  <c r="Y241" i="1"/>
  <c r="X241" i="1"/>
  <c r="AD246" i="1"/>
  <c r="AD286" i="1"/>
  <c r="X288" i="1"/>
  <c r="Y288" i="1" s="1"/>
  <c r="X289" i="1"/>
  <c r="Y289" i="1" s="1"/>
  <c r="Y294" i="1"/>
  <c r="X294" i="1"/>
  <c r="AD304" i="1"/>
  <c r="X315" i="1"/>
  <c r="Y315" i="1"/>
  <c r="W355" i="1"/>
  <c r="AD355" i="1"/>
  <c r="W370" i="1"/>
  <c r="AD418" i="1"/>
  <c r="W418" i="1"/>
  <c r="W256" i="1"/>
  <c r="AD256" i="1"/>
  <c r="Y269" i="1"/>
  <c r="X269" i="1"/>
  <c r="X735" i="1"/>
  <c r="Y735" i="1" s="1"/>
  <c r="AD179" i="1"/>
  <c r="AD226" i="1"/>
  <c r="AD228" i="1"/>
  <c r="AD230" i="1"/>
  <c r="Y233" i="1"/>
  <c r="AD243" i="1"/>
  <c r="W270" i="1"/>
  <c r="W287" i="1"/>
  <c r="AD287" i="1"/>
  <c r="Y310" i="1"/>
  <c r="X310" i="1"/>
  <c r="AD326" i="1"/>
  <c r="X329" i="1"/>
  <c r="Y329" i="1" s="1"/>
  <c r="AD284" i="1"/>
  <c r="AD324" i="1"/>
  <c r="AD332" i="1"/>
  <c r="X334" i="1"/>
  <c r="Y334" i="1" s="1"/>
  <c r="Y347" i="1"/>
  <c r="X347" i="1"/>
  <c r="X469" i="1"/>
  <c r="Y469" i="1" s="1"/>
  <c r="X474" i="1"/>
  <c r="Y474" i="1" s="1"/>
  <c r="AD521" i="1"/>
  <c r="W521" i="1"/>
  <c r="AD259" i="1"/>
  <c r="Y275" i="1"/>
  <c r="X277" i="1"/>
  <c r="Y277" i="1" s="1"/>
  <c r="Y285" i="1"/>
  <c r="AD292" i="1"/>
  <c r="AD299" i="1"/>
  <c r="Y303" i="1"/>
  <c r="X305" i="1"/>
  <c r="Y305" i="1" s="1"/>
  <c r="AD310" i="1"/>
  <c r="AD312" i="1"/>
  <c r="Y325" i="1"/>
  <c r="AD330" i="1"/>
  <c r="Y333" i="1"/>
  <c r="X339" i="1"/>
  <c r="Y339" i="1" s="1"/>
  <c r="AD351" i="1"/>
  <c r="Y361" i="1"/>
  <c r="AD371" i="1"/>
  <c r="X381" i="1"/>
  <c r="Y381" i="1" s="1"/>
  <c r="Y406" i="1"/>
  <c r="Y407" i="1"/>
  <c r="X422" i="1"/>
  <c r="Y422" i="1" s="1"/>
  <c r="Y593" i="1"/>
  <c r="X593" i="1"/>
  <c r="X598" i="1"/>
  <c r="Y598" i="1" s="1"/>
  <c r="W264" i="1"/>
  <c r="AD264" i="1"/>
  <c r="Y265" i="1"/>
  <c r="X274" i="1"/>
  <c r="Y274" i="1" s="1"/>
  <c r="Y293" i="1"/>
  <c r="Y302" i="1"/>
  <c r="X302" i="1"/>
  <c r="Y313" i="1"/>
  <c r="Y331" i="1"/>
  <c r="X331" i="1"/>
  <c r="AD343" i="1"/>
  <c r="Y346" i="1"/>
  <c r="X346" i="1"/>
  <c r="Y353" i="1"/>
  <c r="Y367" i="1"/>
  <c r="AD372" i="1"/>
  <c r="Y390" i="1"/>
  <c r="W431" i="1"/>
  <c r="AD431" i="1"/>
  <c r="W442" i="1"/>
  <c r="AD442" i="1"/>
  <c r="X453" i="1"/>
  <c r="Y453" i="1" s="1"/>
  <c r="X458" i="1"/>
  <c r="Y458" i="1" s="1"/>
  <c r="AD248" i="1"/>
  <c r="Y262" i="1"/>
  <c r="Y282" i="1"/>
  <c r="X282" i="1"/>
  <c r="Y301" i="1"/>
  <c r="Y322" i="1"/>
  <c r="X322" i="1"/>
  <c r="X338" i="1"/>
  <c r="Y338" i="1" s="1"/>
  <c r="Y380" i="1"/>
  <c r="X380" i="1"/>
  <c r="W419" i="1"/>
  <c r="AD419" i="1"/>
  <c r="AD220" i="1"/>
  <c r="AD236" i="1"/>
  <c r="AD252" i="1"/>
  <c r="X273" i="1"/>
  <c r="Y273" i="1" s="1"/>
  <c r="Y281" i="1"/>
  <c r="X290" i="1"/>
  <c r="Y290" i="1" s="1"/>
  <c r="Y299" i="1"/>
  <c r="X301" i="1"/>
  <c r="AD308" i="1"/>
  <c r="Y321" i="1"/>
  <c r="Y337" i="1"/>
  <c r="X345" i="1"/>
  <c r="Y345" i="1" s="1"/>
  <c r="Y351" i="1"/>
  <c r="AD364" i="1"/>
  <c r="X371" i="1"/>
  <c r="Y371" i="1" s="1"/>
  <c r="Y379" i="1"/>
  <c r="W403" i="1"/>
  <c r="AD403" i="1"/>
  <c r="AD505" i="1"/>
  <c r="W505" i="1"/>
  <c r="AD385" i="1"/>
  <c r="AD395" i="1"/>
  <c r="AD401" i="1"/>
  <c r="AD411" i="1"/>
  <c r="AD417" i="1"/>
  <c r="AD426" i="1"/>
  <c r="AD428" i="1"/>
  <c r="Y429" i="1"/>
  <c r="AD437" i="1"/>
  <c r="AD447" i="1"/>
  <c r="X457" i="1"/>
  <c r="Y457" i="1" s="1"/>
  <c r="X467" i="1"/>
  <c r="Y467" i="1" s="1"/>
  <c r="X473" i="1"/>
  <c r="Y473" i="1" s="1"/>
  <c r="Y483" i="1"/>
  <c r="X483" i="1"/>
  <c r="X489" i="1"/>
  <c r="Y489" i="1" s="1"/>
  <c r="X574" i="1"/>
  <c r="Y574" i="1"/>
  <c r="Y382" i="1"/>
  <c r="AD394" i="1"/>
  <c r="Y398" i="1"/>
  <c r="Y401" i="1"/>
  <c r="AD410" i="1"/>
  <c r="Y414" i="1"/>
  <c r="Y417" i="1"/>
  <c r="AD425" i="1"/>
  <c r="AD435" i="1"/>
  <c r="AD446" i="1"/>
  <c r="Y449" i="1"/>
  <c r="W461" i="1"/>
  <c r="AD461" i="1"/>
  <c r="AD465" i="1"/>
  <c r="W477" i="1"/>
  <c r="AD477" i="1"/>
  <c r="AD481" i="1"/>
  <c r="W493" i="1"/>
  <c r="AD493" i="1"/>
  <c r="W509" i="1"/>
  <c r="AD509" i="1"/>
  <c r="Y525" i="1"/>
  <c r="X525" i="1"/>
  <c r="Y529" i="1"/>
  <c r="X529" i="1"/>
  <c r="X668" i="1"/>
  <c r="Y668" i="1" s="1"/>
  <c r="W687" i="1"/>
  <c r="AD687" i="1"/>
  <c r="Y726" i="1"/>
  <c r="X726" i="1"/>
  <c r="Y437" i="1"/>
  <c r="X466" i="1"/>
  <c r="Y466" i="1"/>
  <c r="X482" i="1"/>
  <c r="Y482" i="1" s="1"/>
  <c r="X533" i="1"/>
  <c r="Y533" i="1" s="1"/>
  <c r="X537" i="1"/>
  <c r="Y537" i="1" s="1"/>
  <c r="X549" i="1"/>
  <c r="Y549" i="1" s="1"/>
  <c r="Y581" i="1"/>
  <c r="AD367" i="1"/>
  <c r="AD375" i="1"/>
  <c r="AD389" i="1"/>
  <c r="Y541" i="1"/>
  <c r="X541" i="1"/>
  <c r="Y545" i="1"/>
  <c r="X545" i="1"/>
  <c r="X558" i="1"/>
  <c r="Y558" i="1"/>
  <c r="Y613" i="1"/>
  <c r="X613" i="1"/>
  <c r="AD272" i="1"/>
  <c r="AD280" i="1"/>
  <c r="AD288" i="1"/>
  <c r="AD296" i="1"/>
  <c r="AD328" i="1"/>
  <c r="AD336" i="1"/>
  <c r="AD344" i="1"/>
  <c r="AD352" i="1"/>
  <c r="AD360" i="1"/>
  <c r="X366" i="1"/>
  <c r="Y366" i="1" s="1"/>
  <c r="AD368" i="1"/>
  <c r="X374" i="1"/>
  <c r="Y374" i="1" s="1"/>
  <c r="AD377" i="1"/>
  <c r="AD378" i="1"/>
  <c r="X388" i="1"/>
  <c r="Y388" i="1" s="1"/>
  <c r="AD393" i="1"/>
  <c r="AD409" i="1"/>
  <c r="AD424" i="1"/>
  <c r="W424" i="1"/>
  <c r="X425" i="1"/>
  <c r="Y425" i="1" s="1"/>
  <c r="Y435" i="1"/>
  <c r="AD444" i="1"/>
  <c r="Y445" i="1"/>
  <c r="Y446" i="1"/>
  <c r="Y465" i="1"/>
  <c r="X465" i="1"/>
  <c r="Y481" i="1"/>
  <c r="X481" i="1"/>
  <c r="W497" i="1"/>
  <c r="W513" i="1"/>
  <c r="W602" i="1"/>
  <c r="AD602" i="1"/>
  <c r="Y648" i="1"/>
  <c r="X648" i="1"/>
  <c r="Y393" i="1"/>
  <c r="Y409" i="1"/>
  <c r="AD432" i="1"/>
  <c r="Y433" i="1"/>
  <c r="Y434" i="1"/>
  <c r="X445" i="1"/>
  <c r="W501" i="1"/>
  <c r="AD501" i="1"/>
  <c r="W517" i="1"/>
  <c r="AD517" i="1"/>
  <c r="Y452" i="1"/>
  <c r="Y468" i="1"/>
  <c r="Y484" i="1"/>
  <c r="Y496" i="1"/>
  <c r="Y504" i="1"/>
  <c r="Y512" i="1"/>
  <c r="Y520" i="1"/>
  <c r="AD525" i="1"/>
  <c r="Y528" i="1"/>
  <c r="AD533" i="1"/>
  <c r="AD541" i="1"/>
  <c r="Y544" i="1"/>
  <c r="X597" i="1"/>
  <c r="Y597" i="1" s="1"/>
  <c r="AD617" i="1"/>
  <c r="W617" i="1"/>
  <c r="Y633" i="1"/>
  <c r="X633" i="1"/>
  <c r="Y637" i="1"/>
  <c r="X637" i="1"/>
  <c r="X528" i="1"/>
  <c r="X536" i="1"/>
  <c r="Y536" i="1" s="1"/>
  <c r="X544" i="1"/>
  <c r="Y548" i="1"/>
  <c r="X548" i="1"/>
  <c r="X557" i="1"/>
  <c r="Y557" i="1" s="1"/>
  <c r="X573" i="1"/>
  <c r="Y573" i="1" s="1"/>
  <c r="Y585" i="1"/>
  <c r="Y586" i="1"/>
  <c r="AD601" i="1"/>
  <c r="W601" i="1"/>
  <c r="Y643" i="1"/>
  <c r="X643" i="1"/>
  <c r="X647" i="1"/>
  <c r="Y647" i="1" s="1"/>
  <c r="W658" i="1"/>
  <c r="AD658" i="1"/>
  <c r="Y662" i="1"/>
  <c r="Y671" i="1"/>
  <c r="W547" i="1"/>
  <c r="AD547" i="1"/>
  <c r="Y565" i="1"/>
  <c r="Y621" i="1"/>
  <c r="AD396" i="1"/>
  <c r="AD404" i="1"/>
  <c r="AD412" i="1"/>
  <c r="AD420" i="1"/>
  <c r="AD454" i="1"/>
  <c r="AD460" i="1"/>
  <c r="AD470" i="1"/>
  <c r="AD476" i="1"/>
  <c r="Y553" i="1"/>
  <c r="Y554" i="1"/>
  <c r="X565" i="1"/>
  <c r="Y577" i="1"/>
  <c r="Y578" i="1"/>
  <c r="Y606" i="1"/>
  <c r="X621" i="1"/>
  <c r="X632" i="1"/>
  <c r="Y632" i="1" s="1"/>
  <c r="X708" i="1"/>
  <c r="Y708" i="1" s="1"/>
  <c r="Y460" i="1"/>
  <c r="Y476" i="1"/>
  <c r="X491" i="1"/>
  <c r="Y491" i="1" s="1"/>
  <c r="Y492" i="1"/>
  <c r="Y500" i="1"/>
  <c r="Y508" i="1"/>
  <c r="Y516" i="1"/>
  <c r="Y524" i="1"/>
  <c r="Y532" i="1"/>
  <c r="Y540" i="1"/>
  <c r="X553" i="1"/>
  <c r="X577" i="1"/>
  <c r="Y589" i="1"/>
  <c r="Y590" i="1"/>
  <c r="X605" i="1"/>
  <c r="Y605" i="1" s="1"/>
  <c r="Y630" i="1"/>
  <c r="AD657" i="1"/>
  <c r="W657" i="1"/>
  <c r="W703" i="1"/>
  <c r="AD703" i="1"/>
  <c r="X546" i="1"/>
  <c r="Y546" i="1"/>
  <c r="Y561" i="1"/>
  <c r="Y569" i="1"/>
  <c r="X609" i="1"/>
  <c r="Y609" i="1" s="1"/>
  <c r="X614" i="1"/>
  <c r="Y614" i="1" s="1"/>
  <c r="W618" i="1"/>
  <c r="AD618" i="1"/>
  <c r="X625" i="1"/>
  <c r="Y625" i="1" s="1"/>
  <c r="X629" i="1"/>
  <c r="Y629" i="1" s="1"/>
  <c r="Y649" i="1"/>
  <c r="X649" i="1"/>
  <c r="X692" i="1"/>
  <c r="Y692" i="1"/>
  <c r="AD455" i="1"/>
  <c r="AD463" i="1"/>
  <c r="AD471" i="1"/>
  <c r="AD479" i="1"/>
  <c r="AD487" i="1"/>
  <c r="AD495" i="1"/>
  <c r="AD503" i="1"/>
  <c r="AD511" i="1"/>
  <c r="AD519" i="1"/>
  <c r="AD527" i="1"/>
  <c r="AD535" i="1"/>
  <c r="AD543" i="1"/>
  <c r="AD594" i="1"/>
  <c r="AD600" i="1"/>
  <c r="AD610" i="1"/>
  <c r="AD616" i="1"/>
  <c r="AD634" i="1"/>
  <c r="Y642" i="1"/>
  <c r="X642" i="1"/>
  <c r="AD650" i="1"/>
  <c r="AD593" i="1"/>
  <c r="Y600" i="1"/>
  <c r="AD609" i="1"/>
  <c r="Y616" i="1"/>
  <c r="AD625" i="1"/>
  <c r="Y627" i="1"/>
  <c r="Y646" i="1"/>
  <c r="Y651" i="1"/>
  <c r="X651" i="1"/>
  <c r="Y656" i="1"/>
  <c r="Y661" i="1"/>
  <c r="Y667" i="1"/>
  <c r="Y691" i="1"/>
  <c r="Y707" i="1"/>
  <c r="W725" i="1"/>
  <c r="AD725" i="1"/>
  <c r="Y756" i="1"/>
  <c r="X626" i="1"/>
  <c r="Y626" i="1" s="1"/>
  <c r="AD633" i="1"/>
  <c r="AD638" i="1"/>
  <c r="Y641" i="1"/>
  <c r="X641" i="1"/>
  <c r="AD649" i="1"/>
  <c r="W744" i="1"/>
  <c r="AD744" i="1"/>
  <c r="Y634" i="1"/>
  <c r="X634" i="1"/>
  <c r="Y640" i="1"/>
  <c r="Y645" i="1"/>
  <c r="Y650" i="1"/>
  <c r="X650" i="1"/>
  <c r="Y675" i="1"/>
  <c r="X689" i="1"/>
  <c r="Y689" i="1" s="1"/>
  <c r="X705" i="1"/>
  <c r="Y705" i="1" s="1"/>
  <c r="Y740" i="1"/>
  <c r="X740" i="1"/>
  <c r="AD499" i="1"/>
  <c r="AD507" i="1"/>
  <c r="AD515" i="1"/>
  <c r="AD523" i="1"/>
  <c r="AD531" i="1"/>
  <c r="AD539" i="1"/>
  <c r="AD552" i="1"/>
  <c r="AD556" i="1"/>
  <c r="AD560" i="1"/>
  <c r="AD564" i="1"/>
  <c r="AD568" i="1"/>
  <c r="AD572" i="1"/>
  <c r="AD576" i="1"/>
  <c r="AD580" i="1"/>
  <c r="AD584" i="1"/>
  <c r="AD592" i="1"/>
  <c r="AD608" i="1"/>
  <c r="AD624" i="1"/>
  <c r="X639" i="1"/>
  <c r="Y639" i="1" s="1"/>
  <c r="X640" i="1"/>
  <c r="Y654" i="1"/>
  <c r="X659" i="1"/>
  <c r="Y659" i="1" s="1"/>
  <c r="Y665" i="1"/>
  <c r="X671" i="1"/>
  <c r="X672" i="1"/>
  <c r="Y672" i="1" s="1"/>
  <c r="Y673" i="1"/>
  <c r="X675" i="1"/>
  <c r="X684" i="1"/>
  <c r="Y684" i="1"/>
  <c r="X700" i="1"/>
  <c r="Y700" i="1" s="1"/>
  <c r="Y592" i="1"/>
  <c r="Y608" i="1"/>
  <c r="Y624" i="1"/>
  <c r="Y638" i="1"/>
  <c r="AD642" i="1"/>
  <c r="X664" i="1"/>
  <c r="Y664" i="1" s="1"/>
  <c r="W688" i="1"/>
  <c r="AD688" i="1"/>
  <c r="W704" i="1"/>
  <c r="AD704" i="1"/>
  <c r="AD595" i="1"/>
  <c r="AD603" i="1"/>
  <c r="AD611" i="1"/>
  <c r="AD619" i="1"/>
  <c r="AD627" i="1"/>
  <c r="AD635" i="1"/>
  <c r="AD643" i="1"/>
  <c r="AD651" i="1"/>
  <c r="AD659" i="1"/>
  <c r="AD686" i="1"/>
  <c r="AD702" i="1"/>
  <c r="X720" i="1"/>
  <c r="Y720" i="1" s="1"/>
  <c r="X752" i="1"/>
  <c r="Y752" i="1" s="1"/>
  <c r="X759" i="1"/>
  <c r="Y759" i="1"/>
  <c r="AD680" i="1"/>
  <c r="AD683" i="1"/>
  <c r="Y686" i="1"/>
  <c r="AD696" i="1"/>
  <c r="AD699" i="1"/>
  <c r="X701" i="1"/>
  <c r="Y701" i="1" s="1"/>
  <c r="Y702" i="1"/>
  <c r="AD717" i="1"/>
  <c r="X734" i="1"/>
  <c r="Y734" i="1" s="1"/>
  <c r="AD736" i="1"/>
  <c r="AD741" i="1"/>
  <c r="X743" i="1"/>
  <c r="Y743" i="1" s="1"/>
  <c r="Y819" i="1"/>
  <c r="X819" i="1"/>
  <c r="W850" i="1"/>
  <c r="AD850" i="1"/>
  <c r="AD681" i="1"/>
  <c r="Y683" i="1"/>
  <c r="AD697" i="1"/>
  <c r="Y699" i="1"/>
  <c r="X712" i="1"/>
  <c r="Y712" i="1" s="1"/>
  <c r="AD718" i="1"/>
  <c r="X719" i="1"/>
  <c r="Y719" i="1" s="1"/>
  <c r="Y724" i="1"/>
  <c r="X724" i="1"/>
  <c r="X728" i="1"/>
  <c r="Y728" i="1"/>
  <c r="AD737" i="1"/>
  <c r="Y742" i="1"/>
  <c r="Y754" i="1"/>
  <c r="X873" i="1"/>
  <c r="Y873" i="1" s="1"/>
  <c r="AD646" i="1"/>
  <c r="AD654" i="1"/>
  <c r="AD662" i="1"/>
  <c r="AD668" i="1"/>
  <c r="AD669" i="1"/>
  <c r="AD676" i="1"/>
  <c r="AD677" i="1"/>
  <c r="Y680" i="1"/>
  <c r="X683" i="1"/>
  <c r="AD692" i="1"/>
  <c r="AD693" i="1"/>
  <c r="Y696" i="1"/>
  <c r="AD708" i="1"/>
  <c r="AD709" i="1"/>
  <c r="Y718" i="1"/>
  <c r="Y723" i="1"/>
  <c r="X758" i="1"/>
  <c r="Y758" i="1" s="1"/>
  <c r="W818" i="1"/>
  <c r="AD818" i="1"/>
  <c r="X895" i="1"/>
  <c r="Y895" i="1" s="1"/>
  <c r="AD639" i="1"/>
  <c r="X645" i="1"/>
  <c r="AD647" i="1"/>
  <c r="X653" i="1"/>
  <c r="Y653" i="1" s="1"/>
  <c r="AD655" i="1"/>
  <c r="X661" i="1"/>
  <c r="AD663" i="1"/>
  <c r="AD671" i="1"/>
  <c r="Y711" i="1"/>
  <c r="X711" i="1"/>
  <c r="X732" i="1"/>
  <c r="Y732" i="1" s="1"/>
  <c r="X736" i="1"/>
  <c r="Y736" i="1"/>
  <c r="Y757" i="1"/>
  <c r="X841" i="1"/>
  <c r="Y841" i="1" s="1"/>
  <c r="AD667" i="1"/>
  <c r="AD675" i="1"/>
  <c r="Y678" i="1"/>
  <c r="Y679" i="1"/>
  <c r="AD691" i="1"/>
  <c r="Y694" i="1"/>
  <c r="Y695" i="1"/>
  <c r="Y710" i="1"/>
  <c r="Y715" i="1"/>
  <c r="Y716" i="1"/>
  <c r="AD720" i="1"/>
  <c r="X727" i="1"/>
  <c r="Y727" i="1" s="1"/>
  <c r="Y731" i="1"/>
  <c r="X753" i="1"/>
  <c r="Y753" i="1" s="1"/>
  <c r="X757" i="1"/>
  <c r="AD759" i="1"/>
  <c r="Y883" i="1"/>
  <c r="X883" i="1"/>
  <c r="W714" i="1"/>
  <c r="W722" i="1"/>
  <c r="W730" i="1"/>
  <c r="W738" i="1"/>
  <c r="Y745" i="1"/>
  <c r="W749" i="1"/>
  <c r="Y761" i="1"/>
  <c r="W765" i="1"/>
  <c r="Y768" i="1"/>
  <c r="W773" i="1"/>
  <c r="Y776" i="1"/>
  <c r="AD782" i="1"/>
  <c r="Y784" i="1"/>
  <c r="AD790" i="1"/>
  <c r="Y792" i="1"/>
  <c r="AD796" i="1"/>
  <c r="Y798" i="1"/>
  <c r="X798" i="1"/>
  <c r="AD803" i="1"/>
  <c r="Y812" i="1"/>
  <c r="X812" i="1"/>
  <c r="Y816" i="1"/>
  <c r="Y817" i="1"/>
  <c r="AD821" i="1"/>
  <c r="Y830" i="1"/>
  <c r="X830" i="1"/>
  <c r="AD835" i="1"/>
  <c r="Y844" i="1"/>
  <c r="X844" i="1"/>
  <c r="Y848" i="1"/>
  <c r="Y849" i="1"/>
  <c r="AD853" i="1"/>
  <c r="Y862" i="1"/>
  <c r="X862" i="1"/>
  <c r="AD867" i="1"/>
  <c r="Y876" i="1"/>
  <c r="X876" i="1"/>
  <c r="Y880" i="1"/>
  <c r="Y881" i="1"/>
  <c r="AD885" i="1"/>
  <c r="Y894" i="1"/>
  <c r="X894" i="1"/>
  <c r="AD899" i="1"/>
  <c r="AD906" i="1"/>
  <c r="X911" i="1"/>
  <c r="Y911" i="1"/>
  <c r="AD752" i="1"/>
  <c r="AD753" i="1"/>
  <c r="AD754" i="1"/>
  <c r="Y766" i="1"/>
  <c r="Y774" i="1"/>
  <c r="X803" i="1"/>
  <c r="Y803" i="1" s="1"/>
  <c r="Y834" i="1"/>
  <c r="X835" i="1"/>
  <c r="Y835" i="1" s="1"/>
  <c r="Y866" i="1"/>
  <c r="Y867" i="1"/>
  <c r="X867" i="1"/>
  <c r="X899" i="1"/>
  <c r="Y899" i="1" s="1"/>
  <c r="AD756" i="1"/>
  <c r="X802" i="1"/>
  <c r="Y802" i="1" s="1"/>
  <c r="Y806" i="1"/>
  <c r="X806" i="1"/>
  <c r="AD811" i="1"/>
  <c r="Y820" i="1"/>
  <c r="X820" i="1"/>
  <c r="Y824" i="1"/>
  <c r="Y825" i="1"/>
  <c r="AD829" i="1"/>
  <c r="X834" i="1"/>
  <c r="X838" i="1"/>
  <c r="Y838" i="1" s="1"/>
  <c r="AD843" i="1"/>
  <c r="X852" i="1"/>
  <c r="Y852" i="1" s="1"/>
  <c r="Y856" i="1"/>
  <c r="Y857" i="1"/>
  <c r="AD861" i="1"/>
  <c r="X866" i="1"/>
  <c r="X870" i="1"/>
  <c r="Y870" i="1" s="1"/>
  <c r="AD875" i="1"/>
  <c r="X884" i="1"/>
  <c r="Y884" i="1" s="1"/>
  <c r="Y888" i="1"/>
  <c r="Y889" i="1"/>
  <c r="AD893" i="1"/>
  <c r="X898" i="1"/>
  <c r="Y898" i="1" s="1"/>
  <c r="Y902" i="1"/>
  <c r="X902" i="1"/>
  <c r="X907" i="1"/>
  <c r="Y907" i="1" s="1"/>
  <c r="AD726" i="1"/>
  <c r="AD734" i="1"/>
  <c r="AD742" i="1"/>
  <c r="X751" i="1"/>
  <c r="Y751" i="1" s="1"/>
  <c r="X754" i="1"/>
  <c r="AD757" i="1"/>
  <c r="AD781" i="1"/>
  <c r="X782" i="1"/>
  <c r="Y782" i="1" s="1"/>
  <c r="Y783" i="1"/>
  <c r="AD789" i="1"/>
  <c r="X790" i="1"/>
  <c r="Y790" i="1" s="1"/>
  <c r="Y791" i="1"/>
  <c r="X796" i="1"/>
  <c r="Y796" i="1" s="1"/>
  <c r="Y810" i="1"/>
  <c r="Y811" i="1"/>
  <c r="X811" i="1"/>
  <c r="X843" i="1"/>
  <c r="Y843" i="1" s="1"/>
  <c r="X875" i="1"/>
  <c r="Y875" i="1" s="1"/>
  <c r="X906" i="1"/>
  <c r="Y906" i="1" s="1"/>
  <c r="X910" i="1"/>
  <c r="Y910" i="1" s="1"/>
  <c r="Y913" i="1"/>
  <c r="AD778" i="1"/>
  <c r="Y780" i="1"/>
  <c r="AD786" i="1"/>
  <c r="Y788" i="1"/>
  <c r="AD794" i="1"/>
  <c r="Y800" i="1"/>
  <c r="Y801" i="1"/>
  <c r="AD805" i="1"/>
  <c r="X810" i="1"/>
  <c r="X814" i="1"/>
  <c r="Y814" i="1" s="1"/>
  <c r="AD819" i="1"/>
  <c r="Y828" i="1"/>
  <c r="X828" i="1"/>
  <c r="Y832" i="1"/>
  <c r="Y833" i="1"/>
  <c r="AD837" i="1"/>
  <c r="X842" i="1"/>
  <c r="Y842" i="1" s="1"/>
  <c r="X846" i="1"/>
  <c r="Y846" i="1" s="1"/>
  <c r="AD851" i="1"/>
  <c r="X860" i="1"/>
  <c r="Y860" i="1" s="1"/>
  <c r="Y864" i="1"/>
  <c r="Y865" i="1"/>
  <c r="AD869" i="1"/>
  <c r="X874" i="1"/>
  <c r="Y874" i="1" s="1"/>
  <c r="Y878" i="1"/>
  <c r="X878" i="1"/>
  <c r="AD883" i="1"/>
  <c r="X892" i="1"/>
  <c r="Y892" i="1" s="1"/>
  <c r="Y897" i="1"/>
  <c r="AD901" i="1"/>
  <c r="AD908" i="1"/>
  <c r="Y912" i="1"/>
  <c r="X912" i="1"/>
  <c r="AD747" i="1"/>
  <c r="AD763" i="1"/>
  <c r="AD771" i="1"/>
  <c r="AD776" i="1"/>
  <c r="Y778" i="1"/>
  <c r="AD784" i="1"/>
  <c r="Y786" i="1"/>
  <c r="AD792" i="1"/>
  <c r="Y794" i="1"/>
  <c r="X795" i="1"/>
  <c r="Y795" i="1" s="1"/>
  <c r="X804" i="1"/>
  <c r="Y804" i="1" s="1"/>
  <c r="Y808" i="1"/>
  <c r="AD813" i="1"/>
  <c r="Y822" i="1"/>
  <c r="X822" i="1"/>
  <c r="AD827" i="1"/>
  <c r="Y836" i="1"/>
  <c r="X836" i="1"/>
  <c r="Y840" i="1"/>
  <c r="AD845" i="1"/>
  <c r="Y854" i="1"/>
  <c r="X854" i="1"/>
  <c r="AD859" i="1"/>
  <c r="X868" i="1"/>
  <c r="Y868" i="1" s="1"/>
  <c r="Y872" i="1"/>
  <c r="AD877" i="1"/>
  <c r="Y886" i="1"/>
  <c r="X886" i="1"/>
  <c r="AD891" i="1"/>
  <c r="X900" i="1"/>
  <c r="Y900" i="1" s="1"/>
  <c r="Y909" i="1"/>
  <c r="Y760" i="1"/>
  <c r="AD769" i="1"/>
  <c r="AD777" i="1"/>
  <c r="AD785" i="1"/>
  <c r="AD793" i="1"/>
  <c r="AD802" i="1"/>
  <c r="Y826" i="1"/>
  <c r="Y827" i="1"/>
  <c r="X827" i="1"/>
  <c r="AD834" i="1"/>
  <c r="Y858" i="1"/>
  <c r="X859" i="1"/>
  <c r="Y859" i="1" s="1"/>
  <c r="AD866" i="1"/>
  <c r="Y890" i="1"/>
  <c r="Y891" i="1"/>
  <c r="X891" i="1"/>
  <c r="AD898" i="1"/>
  <c r="Y908" i="1"/>
  <c r="X908" i="1"/>
  <c r="X913" i="1"/>
  <c r="AD798" i="1"/>
  <c r="AD806" i="1"/>
  <c r="AD814" i="1"/>
  <c r="AD822" i="1"/>
  <c r="AD830" i="1"/>
  <c r="AD838" i="1"/>
  <c r="AD846" i="1"/>
  <c r="AD854" i="1"/>
  <c r="AD862" i="1"/>
  <c r="AD870" i="1"/>
  <c r="AD878" i="1"/>
  <c r="AD886" i="1"/>
  <c r="AD894" i="1"/>
  <c r="AD902" i="1"/>
  <c r="AD910" i="1"/>
  <c r="X893" i="1"/>
  <c r="Y893" i="1" s="1"/>
  <c r="AD895" i="1"/>
  <c r="X901" i="1"/>
  <c r="Y901" i="1" s="1"/>
  <c r="AD903" i="1"/>
  <c r="X909" i="1"/>
  <c r="AD911" i="1"/>
  <c r="AD800" i="1"/>
  <c r="AD808" i="1"/>
  <c r="AD816" i="1"/>
  <c r="AD824" i="1"/>
  <c r="AD832" i="1"/>
  <c r="AD840" i="1"/>
  <c r="AD848" i="1"/>
  <c r="AD856" i="1"/>
  <c r="AD864" i="1"/>
  <c r="AD872" i="1"/>
  <c r="AD880" i="1"/>
  <c r="AD888" i="1"/>
  <c r="AD904" i="1"/>
  <c r="AD912" i="1"/>
  <c r="X521" i="1" l="1"/>
  <c r="Y521" i="1" s="1"/>
  <c r="X63" i="1"/>
  <c r="Y63" i="1" s="1"/>
  <c r="X749" i="1"/>
  <c r="Y749" i="1" s="1"/>
  <c r="X744" i="1"/>
  <c r="Y744" i="1"/>
  <c r="X687" i="1"/>
  <c r="Y687" i="1"/>
  <c r="X509" i="1"/>
  <c r="Y509" i="1" s="1"/>
  <c r="X461" i="1"/>
  <c r="Y461" i="1" s="1"/>
  <c r="X256" i="1"/>
  <c r="Y256" i="1" s="1"/>
  <c r="X278" i="1"/>
  <c r="Y278" i="1" s="1"/>
  <c r="Y127" i="1"/>
  <c r="X127" i="1"/>
  <c r="X39" i="1"/>
  <c r="Y39" i="1" s="1"/>
  <c r="X37" i="1"/>
  <c r="Y37" i="1"/>
  <c r="X154" i="1"/>
  <c r="Y154" i="1" s="1"/>
  <c r="Y184" i="1"/>
  <c r="X184" i="1"/>
  <c r="X307" i="1"/>
  <c r="Y307" i="1"/>
  <c r="X738" i="1"/>
  <c r="Y738" i="1"/>
  <c r="X688" i="1"/>
  <c r="Y688" i="1" s="1"/>
  <c r="X703" i="1"/>
  <c r="Y703" i="1" s="1"/>
  <c r="X658" i="1"/>
  <c r="Y658" i="1" s="1"/>
  <c r="X517" i="1"/>
  <c r="Y517" i="1" s="1"/>
  <c r="X418" i="1"/>
  <c r="Y418" i="1" s="1"/>
  <c r="X402" i="1"/>
  <c r="Y402" i="1" s="1"/>
  <c r="X119" i="1"/>
  <c r="Y119" i="1" s="1"/>
  <c r="X31" i="1"/>
  <c r="Y31" i="1" s="1"/>
  <c r="X173" i="1"/>
  <c r="Y173" i="1" s="1"/>
  <c r="X181" i="1"/>
  <c r="Y181" i="1" s="1"/>
  <c r="X245" i="1"/>
  <c r="Y245" i="1" s="1"/>
  <c r="X513" i="1"/>
  <c r="Y513" i="1" s="1"/>
  <c r="X730" i="1"/>
  <c r="Y730" i="1"/>
  <c r="X657" i="1"/>
  <c r="Y657" i="1" s="1"/>
  <c r="X424" i="1"/>
  <c r="Y424" i="1"/>
  <c r="X493" i="1"/>
  <c r="Y493" i="1" s="1"/>
  <c r="X505" i="1"/>
  <c r="Y505" i="1" s="1"/>
  <c r="X419" i="1"/>
  <c r="Y419" i="1" s="1"/>
  <c r="X264" i="1"/>
  <c r="Y264" i="1" s="1"/>
  <c r="X103" i="1"/>
  <c r="Y103" i="1" s="1"/>
  <c r="X23" i="1"/>
  <c r="Y23" i="1" s="1"/>
  <c r="X222" i="1"/>
  <c r="Y222" i="1" s="1"/>
  <c r="X21" i="1"/>
  <c r="Y21" i="1"/>
  <c r="X227" i="1"/>
  <c r="Y227" i="1"/>
  <c r="X704" i="1"/>
  <c r="Y704" i="1" s="1"/>
  <c r="X773" i="1"/>
  <c r="Y773" i="1" s="1"/>
  <c r="X722" i="1"/>
  <c r="Y722" i="1"/>
  <c r="X725" i="1"/>
  <c r="Y725" i="1"/>
  <c r="X501" i="1"/>
  <c r="Y501" i="1" s="1"/>
  <c r="X287" i="1"/>
  <c r="Y287" i="1" s="1"/>
  <c r="X370" i="1"/>
  <c r="Y370" i="1" s="1"/>
  <c r="X255" i="1"/>
  <c r="Y255" i="1"/>
  <c r="X95" i="1"/>
  <c r="Y95" i="1" s="1"/>
  <c r="X15" i="1"/>
  <c r="Y15" i="1" s="1"/>
  <c r="X318" i="1"/>
  <c r="Y318" i="1" s="1"/>
  <c r="X882" i="1"/>
  <c r="Y882" i="1" s="1"/>
  <c r="X430" i="1"/>
  <c r="Y430" i="1"/>
  <c r="X497" i="1"/>
  <c r="Y497" i="1" s="1"/>
  <c r="X431" i="1"/>
  <c r="Y431" i="1"/>
  <c r="X441" i="1"/>
  <c r="Y441" i="1" s="1"/>
  <c r="X714" i="1"/>
  <c r="Y714" i="1"/>
  <c r="X850" i="1"/>
  <c r="Y850" i="1" s="1"/>
  <c r="X270" i="1"/>
  <c r="Y270" i="1" s="1"/>
  <c r="X363" i="1"/>
  <c r="Y363" i="1" s="1"/>
  <c r="X87" i="1"/>
  <c r="Y87" i="1" s="1"/>
  <c r="X7" i="1"/>
  <c r="Y7" i="1" s="1"/>
  <c r="X451" i="1"/>
  <c r="Y451" i="1"/>
  <c r="X327" i="1"/>
  <c r="Y327" i="1"/>
  <c r="X5" i="1"/>
  <c r="Y5" i="1" s="1"/>
  <c r="X335" i="1"/>
  <c r="Y335" i="1" s="1"/>
  <c r="X618" i="1"/>
  <c r="Y618" i="1"/>
  <c r="X254" i="1"/>
  <c r="Y254" i="1" s="1"/>
  <c r="X55" i="1"/>
  <c r="Y55" i="1" s="1"/>
  <c r="X279" i="1"/>
  <c r="Y279" i="1" s="1"/>
  <c r="X765" i="1"/>
  <c r="Y765" i="1" s="1"/>
  <c r="X818" i="1"/>
  <c r="Y818" i="1" s="1"/>
  <c r="X547" i="1"/>
  <c r="Y547" i="1" s="1"/>
  <c r="X601" i="1"/>
  <c r="Y601" i="1" s="1"/>
  <c r="X617" i="1"/>
  <c r="Y617" i="1" s="1"/>
  <c r="X602" i="1"/>
  <c r="Y602" i="1"/>
  <c r="X477" i="1"/>
  <c r="Y477" i="1" s="1"/>
  <c r="X403" i="1"/>
  <c r="Y403" i="1" s="1"/>
  <c r="X442" i="1"/>
  <c r="Y442" i="1"/>
  <c r="X355" i="1"/>
  <c r="Y355" i="1" s="1"/>
  <c r="X71" i="1"/>
  <c r="Y71" i="1" s="1"/>
</calcChain>
</file>

<file path=xl/sharedStrings.xml><?xml version="1.0" encoding="utf-8"?>
<sst xmlns="http://schemas.openxmlformats.org/spreadsheetml/2006/main" count="11894" uniqueCount="2772">
  <si>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</si>
  <si>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</si>
  <si>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</si>
  <si>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</si>
  <si>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</si>
  <si>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</si>
  <si>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</si>
  <si>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</si>
  <si>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</si>
  <si>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</si>
  <si>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</si>
  <si>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</si>
  <si>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</si>
  <si>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</si>
  <si>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</si>
  <si>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</si>
  <si>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</si>
  <si>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</si>
  <si>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</si>
  <si>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</si>
  <si>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</si>
  <si>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</si>
  <si>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</si>
  <si>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</si>
  <si>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</si>
  <si>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</si>
  <si>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</si>
  <si>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</si>
  <si>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dup_status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</si>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</sst>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%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4" width="12" customWidth="1"/>
    <col min="5" max="5" width="16" customWidth="1"/>
    <col min="6" max="6" width="14" customWidth="1"/>
    <col min="7" max="7" width="10" customWidth="1"/>
    <col min="8" max="8" width="12" customWidth="1"/>
    <col min="9" max="9" width="14" customWidth="1"/>
    <col min="10" max="10" width="16" customWidth="1"/>
    <col min="11" max="11" width="14" customWidth="1"/>
    <col min="12" max="12" width="20" customWidth="1"/>
    <col min="13" max="13" width="14" customWidth="1"/>
    <col min="14" max="14" width="10" customWidth="1"/>
    <col min="15" max="15" width="11" customWidth="1"/>
    <col min="16" max="16" width="10" customWidth="1"/>
    <col min="17" max="19" width="11" customWidth="1"/>
    <col min="20" max="20" width="15" customWidth="1"/>
    <col min="21" max="21" width="13" customWidth="1"/>
    <col min="22" max="22" width="15" customWidth="1"/>
    <col min="23" max="24" width="16" customWidth="1"/>
    <col min="25" max="25" width="13" customWidth="1"/>
    <col min="26" max="26" width="18" customWidth="1"/>
    <col min="27" max="27" width="12" customWidth="1"/>
    <col min="28" max="28" width="11" customWidth="1"/>
    <col min="29" max="29" width="16" customWidth="1"/>
    <col min="30" max="30" width="17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s="2">
        <v>45494</v>
      </c>
      <c r="C2" s="2">
        <v>45500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8</v>
      </c>
      <c r="O2">
        <v>2976.45</v>
      </c>
      <c r="P2" s="3">
        <v>0.2</v>
      </c>
      <c r="Q2">
        <v>19049.28</v>
      </c>
      <c r="R2">
        <v>15841.89</v>
      </c>
      <c r="S2">
        <v>3207.39</v>
      </c>
      <c r="T2" t="s">
        <v>41</v>
      </c>
      <c r="U2" t="s">
        <v>42</v>
      </c>
      <c r="V2" s="3">
        <f t="shared" ref="V2:V65" si="0">IF(P2="",0,IF(ISNUMBER(P2),ABS(P2),IF(RIGHT(P2,1)="%",VALUE(LEFT(P2,LEN(P2)-1))/100,P2)))</f>
        <v>0.2</v>
      </c>
      <c r="W2">
        <f t="shared" ref="W2:W65" si="1">N2*O2*(1-V2)</f>
        <v>19049.28</v>
      </c>
      <c r="X2">
        <f t="shared" ref="X2:X65" si="2">W2-R2</f>
        <v>3207.3899999999994</v>
      </c>
      <c r="Y2" s="4">
        <f t="shared" ref="Y2:Y65" si="3">IF(W2=0,0,X2/W2)</f>
        <v>0.16837329284886357</v>
      </c>
      <c r="Z2">
        <f t="shared" ref="Z2:Z65" si="4">C2-B2</f>
        <v>6</v>
      </c>
      <c r="AA2">
        <f t="shared" ref="AA2:AA65" si="5">MONTH(B2)</f>
        <v>7</v>
      </c>
      <c r="AB2">
        <f t="shared" ref="AB2:AB65" si="6">YEAR(B2)</f>
        <v>2024</v>
      </c>
      <c r="AC2" t="str">
        <f t="shared" ref="AC2:AC65" si="7">IF(COUNTIF($A$2:$A$913,A2)&gt;1,"Conflict - Review","Unique")</f>
        <v>Unique</v>
      </c>
      <c r="AD2" t="str">
        <f t="shared" ref="AD2:AD65" si="8">IF(OR(C2&lt;B2,AND(ISNUMBER(P2),P2&lt;0),V2&gt;0.65,AC2="Conflict - Review"),"Invalid",IF(OR(G2="Unknown",M2="Unknown",T2="Failed",U2="Cancelled"),"Warning","Clean"))</f>
        <v>Clean</v>
      </c>
    </row>
    <row r="3" spans="1:30" x14ac:dyDescent="0.3">
      <c r="A3" t="s">
        <v>43</v>
      </c>
      <c r="B3" s="2">
        <v>45535</v>
      </c>
      <c r="C3" s="2">
        <v>45540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>
        <v>3</v>
      </c>
      <c r="O3">
        <v>2437.5</v>
      </c>
      <c r="P3" s="3">
        <v>0</v>
      </c>
      <c r="Q3">
        <v>7312.5</v>
      </c>
      <c r="R3">
        <v>4904.7299999999996</v>
      </c>
      <c r="S3">
        <v>2407.77</v>
      </c>
      <c r="T3" t="s">
        <v>41</v>
      </c>
      <c r="U3" t="s">
        <v>42</v>
      </c>
      <c r="V3" s="3">
        <f t="shared" si="0"/>
        <v>0</v>
      </c>
      <c r="W3">
        <f t="shared" si="1"/>
        <v>7312.5</v>
      </c>
      <c r="X3">
        <f t="shared" si="2"/>
        <v>2407.7700000000004</v>
      </c>
      <c r="Y3" s="4">
        <f t="shared" si="3"/>
        <v>0.32926769230769237</v>
      </c>
      <c r="Z3">
        <f t="shared" si="4"/>
        <v>5</v>
      </c>
      <c r="AA3">
        <f t="shared" si="5"/>
        <v>8</v>
      </c>
      <c r="AB3">
        <f t="shared" si="6"/>
        <v>2024</v>
      </c>
      <c r="AC3" t="str">
        <f t="shared" si="7"/>
        <v>Unique</v>
      </c>
      <c r="AD3" t="str">
        <f t="shared" si="8"/>
        <v>Clean</v>
      </c>
    </row>
    <row r="4" spans="1:30" x14ac:dyDescent="0.3">
      <c r="A4" t="s">
        <v>54</v>
      </c>
      <c r="B4" s="2">
        <v>45451</v>
      </c>
      <c r="C4" s="2">
        <v>45458</v>
      </c>
      <c r="D4" t="s">
        <v>55</v>
      </c>
      <c r="E4" t="s">
        <v>56</v>
      </c>
      <c r="F4" t="s">
        <v>33</v>
      </c>
      <c r="G4" t="s">
        <v>47</v>
      </c>
      <c r="H4" t="s">
        <v>48</v>
      </c>
      <c r="I4" t="s">
        <v>49</v>
      </c>
      <c r="J4" t="s">
        <v>37</v>
      </c>
      <c r="K4" t="s">
        <v>57</v>
      </c>
      <c r="L4" t="s">
        <v>58</v>
      </c>
      <c r="M4" t="s">
        <v>59</v>
      </c>
      <c r="N4">
        <v>4</v>
      </c>
      <c r="O4">
        <v>1065.43</v>
      </c>
      <c r="P4" s="3">
        <v>0.55000000000000004</v>
      </c>
      <c r="Q4">
        <v>4261.72</v>
      </c>
      <c r="R4">
        <v>2465.69</v>
      </c>
      <c r="S4">
        <v>1796.03</v>
      </c>
      <c r="T4" t="s">
        <v>41</v>
      </c>
      <c r="U4" t="s">
        <v>42</v>
      </c>
      <c r="V4" s="3">
        <f t="shared" si="0"/>
        <v>0.55000000000000004</v>
      </c>
      <c r="W4">
        <f t="shared" si="1"/>
        <v>1917.7739999999999</v>
      </c>
      <c r="X4">
        <f t="shared" si="2"/>
        <v>-547.91600000000017</v>
      </c>
      <c r="Y4" s="4">
        <f t="shared" si="3"/>
        <v>-0.28570415492127865</v>
      </c>
      <c r="Z4">
        <f t="shared" si="4"/>
        <v>7</v>
      </c>
      <c r="AA4">
        <f t="shared" si="5"/>
        <v>6</v>
      </c>
      <c r="AB4">
        <f t="shared" si="6"/>
        <v>2024</v>
      </c>
      <c r="AC4" t="str">
        <f t="shared" si="7"/>
        <v>Unique</v>
      </c>
      <c r="AD4" t="str">
        <f t="shared" si="8"/>
        <v>Clean</v>
      </c>
    </row>
    <row r="5" spans="1:30" x14ac:dyDescent="0.3">
      <c r="A5" t="s">
        <v>60</v>
      </c>
      <c r="B5" s="2">
        <v>45624</v>
      </c>
      <c r="C5" s="2">
        <v>45625</v>
      </c>
      <c r="D5" t="s">
        <v>61</v>
      </c>
      <c r="E5" t="s">
        <v>62</v>
      </c>
      <c r="F5" t="s">
        <v>46</v>
      </c>
      <c r="G5" t="s">
        <v>63</v>
      </c>
      <c r="H5" t="s">
        <v>64</v>
      </c>
      <c r="I5" t="s">
        <v>65</v>
      </c>
      <c r="J5" t="s">
        <v>50</v>
      </c>
      <c r="K5" t="s">
        <v>66</v>
      </c>
      <c r="L5" t="s">
        <v>67</v>
      </c>
      <c r="M5" t="s">
        <v>68</v>
      </c>
      <c r="N5">
        <v>6</v>
      </c>
      <c r="O5">
        <v>1848.43</v>
      </c>
      <c r="P5" s="3">
        <v>0.25</v>
      </c>
      <c r="Q5">
        <v>8317.93</v>
      </c>
      <c r="R5">
        <v>6796.77</v>
      </c>
      <c r="S5">
        <v>1521.16</v>
      </c>
      <c r="T5" t="s">
        <v>41</v>
      </c>
      <c r="U5" t="s">
        <v>42</v>
      </c>
      <c r="V5" s="3">
        <f t="shared" si="0"/>
        <v>0.25</v>
      </c>
      <c r="W5">
        <f t="shared" si="1"/>
        <v>8317.9349999999995</v>
      </c>
      <c r="X5">
        <f t="shared" si="2"/>
        <v>1521.1649999999991</v>
      </c>
      <c r="Y5" s="4">
        <f t="shared" si="3"/>
        <v>0.18287772145370204</v>
      </c>
      <c r="Z5">
        <f t="shared" si="4"/>
        <v>1</v>
      </c>
      <c r="AA5">
        <f t="shared" si="5"/>
        <v>11</v>
      </c>
      <c r="AB5">
        <f t="shared" si="6"/>
        <v>2024</v>
      </c>
      <c r="AC5" t="str">
        <f t="shared" si="7"/>
        <v>Unique</v>
      </c>
      <c r="AD5" t="str">
        <f t="shared" si="8"/>
        <v>Clean</v>
      </c>
    </row>
    <row r="6" spans="1:30" x14ac:dyDescent="0.3">
      <c r="A6" t="s">
        <v>69</v>
      </c>
      <c r="B6" s="2">
        <v>45898</v>
      </c>
      <c r="C6" s="2">
        <v>45901</v>
      </c>
      <c r="D6" t="s">
        <v>70</v>
      </c>
      <c r="E6" t="s">
        <v>71</v>
      </c>
      <c r="F6" t="s">
        <v>46</v>
      </c>
      <c r="G6" t="s">
        <v>72</v>
      </c>
      <c r="H6" t="s">
        <v>73</v>
      </c>
      <c r="I6" t="s">
        <v>74</v>
      </c>
      <c r="J6" t="s">
        <v>50</v>
      </c>
      <c r="K6" t="s">
        <v>75</v>
      </c>
      <c r="L6" t="s">
        <v>76</v>
      </c>
      <c r="M6" t="s">
        <v>59</v>
      </c>
      <c r="N6">
        <v>7</v>
      </c>
      <c r="O6">
        <v>2973.76</v>
      </c>
      <c r="P6" s="3">
        <v>0</v>
      </c>
      <c r="Q6">
        <v>20816.32</v>
      </c>
      <c r="R6">
        <v>17705.37</v>
      </c>
      <c r="S6">
        <v>3110.95</v>
      </c>
      <c r="T6" t="s">
        <v>41</v>
      </c>
      <c r="U6" t="s">
        <v>77</v>
      </c>
      <c r="V6" s="3">
        <f t="shared" si="0"/>
        <v>0</v>
      </c>
      <c r="W6">
        <f t="shared" si="1"/>
        <v>20816.32</v>
      </c>
      <c r="X6">
        <f t="shared" si="2"/>
        <v>3110.9500000000007</v>
      </c>
      <c r="Y6" s="4">
        <f t="shared" si="3"/>
        <v>0.14944764492475138</v>
      </c>
      <c r="Z6">
        <f t="shared" si="4"/>
        <v>3</v>
      </c>
      <c r="AA6">
        <f t="shared" si="5"/>
        <v>8</v>
      </c>
      <c r="AB6">
        <f t="shared" si="6"/>
        <v>2025</v>
      </c>
      <c r="AC6" t="str">
        <f t="shared" si="7"/>
        <v>Unique</v>
      </c>
      <c r="AD6" t="str">
        <f t="shared" si="8"/>
        <v>Warning</v>
      </c>
    </row>
    <row r="7" spans="1:30" x14ac:dyDescent="0.3">
      <c r="A7" t="s">
        <v>78</v>
      </c>
      <c r="B7" s="2">
        <v>45436</v>
      </c>
      <c r="C7" s="2">
        <v>45440</v>
      </c>
      <c r="D7" t="s">
        <v>79</v>
      </c>
      <c r="E7" t="s">
        <v>80</v>
      </c>
      <c r="F7" t="s">
        <v>46</v>
      </c>
      <c r="G7" t="s">
        <v>72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53</v>
      </c>
      <c r="N7">
        <v>3</v>
      </c>
      <c r="O7">
        <v>1053.1099999999999</v>
      </c>
      <c r="P7" s="3">
        <v>0.2</v>
      </c>
      <c r="Q7">
        <v>2527.46</v>
      </c>
      <c r="R7">
        <v>1533.58</v>
      </c>
      <c r="S7">
        <v>993.88</v>
      </c>
      <c r="T7" t="s">
        <v>41</v>
      </c>
      <c r="U7" t="s">
        <v>42</v>
      </c>
      <c r="V7" s="3">
        <f t="shared" si="0"/>
        <v>0.2</v>
      </c>
      <c r="W7">
        <f t="shared" si="1"/>
        <v>2527.4639999999999</v>
      </c>
      <c r="X7">
        <f t="shared" si="2"/>
        <v>993.88400000000001</v>
      </c>
      <c r="Y7" s="4">
        <f t="shared" si="3"/>
        <v>0.39323369195367375</v>
      </c>
      <c r="Z7">
        <f t="shared" si="4"/>
        <v>4</v>
      </c>
      <c r="AA7">
        <f t="shared" si="5"/>
        <v>5</v>
      </c>
      <c r="AB7">
        <f t="shared" si="6"/>
        <v>2024</v>
      </c>
      <c r="AC7" t="str">
        <f t="shared" si="7"/>
        <v>Unique</v>
      </c>
      <c r="AD7" t="str">
        <f t="shared" si="8"/>
        <v>Clean</v>
      </c>
    </row>
    <row r="8" spans="1:30" x14ac:dyDescent="0.3">
      <c r="A8" t="s">
        <v>86</v>
      </c>
      <c r="B8" s="2">
        <v>45757</v>
      </c>
      <c r="C8" s="2">
        <v>45763</v>
      </c>
      <c r="D8" t="s">
        <v>87</v>
      </c>
      <c r="E8" t="s">
        <v>88</v>
      </c>
      <c r="F8" t="s">
        <v>33</v>
      </c>
      <c r="G8" t="s">
        <v>47</v>
      </c>
      <c r="H8" t="s">
        <v>48</v>
      </c>
      <c r="I8" t="s">
        <v>49</v>
      </c>
      <c r="J8" t="s">
        <v>83</v>
      </c>
      <c r="K8" t="s">
        <v>89</v>
      </c>
      <c r="L8" t="s">
        <v>90</v>
      </c>
      <c r="M8" t="s">
        <v>68</v>
      </c>
      <c r="N8">
        <v>4</v>
      </c>
      <c r="O8">
        <v>1719.87</v>
      </c>
      <c r="P8" s="3">
        <v>0.15</v>
      </c>
      <c r="Q8">
        <v>5847.56</v>
      </c>
      <c r="R8">
        <v>4727.25</v>
      </c>
      <c r="S8">
        <v>1120.31</v>
      </c>
      <c r="T8" t="s">
        <v>41</v>
      </c>
      <c r="U8" t="s">
        <v>42</v>
      </c>
      <c r="V8" s="3">
        <f t="shared" si="0"/>
        <v>0.15</v>
      </c>
      <c r="W8">
        <f t="shared" si="1"/>
        <v>5847.5579999999991</v>
      </c>
      <c r="X8">
        <f t="shared" si="2"/>
        <v>1120.3079999999991</v>
      </c>
      <c r="Y8" s="4">
        <f t="shared" si="3"/>
        <v>0.19158561573908275</v>
      </c>
      <c r="Z8">
        <f t="shared" si="4"/>
        <v>6</v>
      </c>
      <c r="AA8">
        <f t="shared" si="5"/>
        <v>4</v>
      </c>
      <c r="AB8">
        <f t="shared" si="6"/>
        <v>2025</v>
      </c>
      <c r="AC8" t="str">
        <f t="shared" si="7"/>
        <v>Unique</v>
      </c>
      <c r="AD8" t="str">
        <f t="shared" si="8"/>
        <v>Clean</v>
      </c>
    </row>
    <row r="9" spans="1:30" x14ac:dyDescent="0.3">
      <c r="A9" t="s">
        <v>91</v>
      </c>
      <c r="B9" s="2">
        <v>45711</v>
      </c>
      <c r="C9" s="2">
        <v>45714</v>
      </c>
      <c r="D9" t="s">
        <v>92</v>
      </c>
      <c r="E9" t="s">
        <v>56</v>
      </c>
      <c r="F9" t="s">
        <v>46</v>
      </c>
      <c r="G9" t="s">
        <v>63</v>
      </c>
      <c r="H9" t="s">
        <v>93</v>
      </c>
      <c r="I9" t="s">
        <v>94</v>
      </c>
      <c r="J9" t="s">
        <v>37</v>
      </c>
      <c r="K9" t="s">
        <v>57</v>
      </c>
      <c r="L9" t="s">
        <v>95</v>
      </c>
      <c r="M9" t="s">
        <v>59</v>
      </c>
      <c r="N9">
        <v>1</v>
      </c>
      <c r="O9">
        <v>2980.71</v>
      </c>
      <c r="P9" s="3">
        <v>0</v>
      </c>
      <c r="Q9">
        <v>2980.71</v>
      </c>
      <c r="R9">
        <v>2357.2199999999998</v>
      </c>
      <c r="S9">
        <v>623.49</v>
      </c>
      <c r="T9" t="s">
        <v>41</v>
      </c>
      <c r="U9" t="s">
        <v>42</v>
      </c>
      <c r="V9" s="3">
        <f t="shared" si="0"/>
        <v>0</v>
      </c>
      <c r="W9">
        <f t="shared" si="1"/>
        <v>2980.71</v>
      </c>
      <c r="X9">
        <f t="shared" si="2"/>
        <v>623.49000000000024</v>
      </c>
      <c r="Y9" s="4">
        <f t="shared" si="3"/>
        <v>0.20917499521925992</v>
      </c>
      <c r="Z9">
        <f t="shared" si="4"/>
        <v>3</v>
      </c>
      <c r="AA9">
        <f t="shared" si="5"/>
        <v>2</v>
      </c>
      <c r="AB9">
        <f t="shared" si="6"/>
        <v>2025</v>
      </c>
      <c r="AC9" t="str">
        <f t="shared" si="7"/>
        <v>Unique</v>
      </c>
      <c r="AD9" t="str">
        <f t="shared" si="8"/>
        <v>Clean</v>
      </c>
    </row>
    <row r="10" spans="1:30" x14ac:dyDescent="0.3">
      <c r="A10" t="s">
        <v>96</v>
      </c>
      <c r="B10" s="2">
        <v>45601</v>
      </c>
      <c r="C10" s="2">
        <v>45606</v>
      </c>
      <c r="D10" t="s">
        <v>97</v>
      </c>
      <c r="E10" t="s">
        <v>98</v>
      </c>
      <c r="F10" t="s">
        <v>99</v>
      </c>
      <c r="G10" t="s">
        <v>63</v>
      </c>
      <c r="H10" t="s">
        <v>64</v>
      </c>
      <c r="I10" t="s">
        <v>65</v>
      </c>
      <c r="J10" t="s">
        <v>37</v>
      </c>
      <c r="K10" t="s">
        <v>100</v>
      </c>
      <c r="L10" t="s">
        <v>101</v>
      </c>
      <c r="M10" t="s">
        <v>59</v>
      </c>
      <c r="N10">
        <v>8</v>
      </c>
      <c r="O10">
        <v>3134.2</v>
      </c>
      <c r="P10" s="3">
        <v>0</v>
      </c>
      <c r="Q10">
        <v>25073.599999999999</v>
      </c>
      <c r="R10">
        <v>17347.23</v>
      </c>
      <c r="S10">
        <v>7726.37</v>
      </c>
      <c r="T10" t="s">
        <v>41</v>
      </c>
      <c r="U10" t="s">
        <v>42</v>
      </c>
      <c r="V10" s="3">
        <f t="shared" si="0"/>
        <v>0</v>
      </c>
      <c r="W10">
        <f t="shared" si="1"/>
        <v>25073.599999999999</v>
      </c>
      <c r="X10">
        <f t="shared" si="2"/>
        <v>7726.369999999999</v>
      </c>
      <c r="Y10" s="4">
        <f t="shared" si="3"/>
        <v>0.30814761342607361</v>
      </c>
      <c r="Z10">
        <f t="shared" si="4"/>
        <v>5</v>
      </c>
      <c r="AA10">
        <f t="shared" si="5"/>
        <v>11</v>
      </c>
      <c r="AB10">
        <f t="shared" si="6"/>
        <v>2024</v>
      </c>
      <c r="AC10" t="str">
        <f t="shared" si="7"/>
        <v>Unique</v>
      </c>
      <c r="AD10" t="str">
        <f t="shared" si="8"/>
        <v>Clean</v>
      </c>
    </row>
    <row r="11" spans="1:30" x14ac:dyDescent="0.3">
      <c r="A11" t="s">
        <v>102</v>
      </c>
      <c r="B11" s="2">
        <v>45907</v>
      </c>
      <c r="C11" s="2">
        <v>45912</v>
      </c>
      <c r="D11" t="s">
        <v>103</v>
      </c>
      <c r="E11" t="s">
        <v>45</v>
      </c>
      <c r="F11" t="s">
        <v>104</v>
      </c>
      <c r="G11" t="s">
        <v>63</v>
      </c>
      <c r="H11" t="s">
        <v>64</v>
      </c>
      <c r="I11" t="s">
        <v>65</v>
      </c>
      <c r="J11" t="s">
        <v>37</v>
      </c>
      <c r="K11" t="s">
        <v>38</v>
      </c>
      <c r="L11" t="s">
        <v>105</v>
      </c>
      <c r="M11" t="s">
        <v>40</v>
      </c>
      <c r="N11">
        <v>9</v>
      </c>
      <c r="O11">
        <v>852.04</v>
      </c>
      <c r="P11" s="3">
        <v>0.2</v>
      </c>
      <c r="Q11">
        <v>6134.69</v>
      </c>
      <c r="R11">
        <v>3800.19</v>
      </c>
      <c r="S11">
        <v>2334.5</v>
      </c>
      <c r="T11" t="s">
        <v>41</v>
      </c>
      <c r="U11" t="s">
        <v>42</v>
      </c>
      <c r="V11" s="3">
        <f t="shared" si="0"/>
        <v>0.2</v>
      </c>
      <c r="W11">
        <f t="shared" si="1"/>
        <v>6134.6880000000001</v>
      </c>
      <c r="X11">
        <f t="shared" si="2"/>
        <v>2334.498</v>
      </c>
      <c r="Y11" s="4">
        <f t="shared" si="3"/>
        <v>0.38054062407085737</v>
      </c>
      <c r="Z11">
        <f t="shared" si="4"/>
        <v>5</v>
      </c>
      <c r="AA11">
        <f t="shared" si="5"/>
        <v>9</v>
      </c>
      <c r="AB11">
        <f t="shared" si="6"/>
        <v>2025</v>
      </c>
      <c r="AC11" t="str">
        <f t="shared" si="7"/>
        <v>Unique</v>
      </c>
      <c r="AD11" t="str">
        <f t="shared" si="8"/>
        <v>Clean</v>
      </c>
    </row>
    <row r="12" spans="1:30" x14ac:dyDescent="0.3">
      <c r="A12" t="s">
        <v>106</v>
      </c>
      <c r="B12" s="2">
        <v>45797</v>
      </c>
      <c r="C12" s="2">
        <v>45797</v>
      </c>
      <c r="D12" t="s">
        <v>107</v>
      </c>
      <c r="E12" t="s">
        <v>71</v>
      </c>
      <c r="F12" t="s">
        <v>99</v>
      </c>
      <c r="G12" t="s">
        <v>47</v>
      </c>
      <c r="H12" t="s">
        <v>108</v>
      </c>
      <c r="I12" t="s">
        <v>109</v>
      </c>
      <c r="J12" t="s">
        <v>37</v>
      </c>
      <c r="K12" t="s">
        <v>100</v>
      </c>
      <c r="L12" t="s">
        <v>110</v>
      </c>
      <c r="M12" t="s">
        <v>40</v>
      </c>
      <c r="N12">
        <v>3</v>
      </c>
      <c r="O12">
        <v>3534.83</v>
      </c>
      <c r="P12" s="3">
        <v>0.05</v>
      </c>
      <c r="Q12">
        <v>10074.27</v>
      </c>
      <c r="R12">
        <v>6048.27</v>
      </c>
      <c r="S12">
        <v>4026</v>
      </c>
      <c r="T12" t="s">
        <v>111</v>
      </c>
      <c r="U12" t="s">
        <v>112</v>
      </c>
      <c r="V12" s="3">
        <f t="shared" si="0"/>
        <v>0.05</v>
      </c>
      <c r="W12">
        <f t="shared" si="1"/>
        <v>10074.2655</v>
      </c>
      <c r="X12">
        <f t="shared" si="2"/>
        <v>4025.9954999999991</v>
      </c>
      <c r="Y12" s="4">
        <f t="shared" si="3"/>
        <v>0.39963166545491574</v>
      </c>
      <c r="Z12">
        <f t="shared" si="4"/>
        <v>0</v>
      </c>
      <c r="AA12">
        <f t="shared" si="5"/>
        <v>5</v>
      </c>
      <c r="AB12">
        <f t="shared" si="6"/>
        <v>2025</v>
      </c>
      <c r="AC12" t="str">
        <f t="shared" si="7"/>
        <v>Unique</v>
      </c>
      <c r="AD12" t="str">
        <f t="shared" si="8"/>
        <v>Clean</v>
      </c>
    </row>
    <row r="13" spans="1:30" x14ac:dyDescent="0.3">
      <c r="A13" t="s">
        <v>113</v>
      </c>
      <c r="B13" s="2">
        <v>45495</v>
      </c>
      <c r="C13" s="2">
        <v>45496</v>
      </c>
      <c r="D13" t="s">
        <v>114</v>
      </c>
      <c r="E13" t="s">
        <v>80</v>
      </c>
      <c r="F13" t="s">
        <v>46</v>
      </c>
      <c r="G13" t="s">
        <v>47</v>
      </c>
      <c r="H13" t="s">
        <v>48</v>
      </c>
      <c r="I13" t="s">
        <v>49</v>
      </c>
      <c r="J13" t="s">
        <v>83</v>
      </c>
      <c r="K13" t="s">
        <v>84</v>
      </c>
      <c r="L13" t="s">
        <v>115</v>
      </c>
      <c r="M13" t="s">
        <v>53</v>
      </c>
      <c r="N13">
        <v>6</v>
      </c>
      <c r="O13">
        <v>2005.95</v>
      </c>
      <c r="P13" s="3">
        <v>0.2</v>
      </c>
      <c r="Q13">
        <v>9628.56</v>
      </c>
      <c r="R13">
        <v>8038.59</v>
      </c>
      <c r="S13">
        <v>1589.97</v>
      </c>
      <c r="T13" t="s">
        <v>41</v>
      </c>
      <c r="U13" t="s">
        <v>42</v>
      </c>
      <c r="V13" s="3">
        <f t="shared" si="0"/>
        <v>0.2</v>
      </c>
      <c r="W13">
        <f t="shared" si="1"/>
        <v>9628.5600000000013</v>
      </c>
      <c r="X13">
        <f t="shared" si="2"/>
        <v>1589.9700000000012</v>
      </c>
      <c r="Y13" s="4">
        <f t="shared" si="3"/>
        <v>0.16513061143099289</v>
      </c>
      <c r="Z13">
        <f t="shared" si="4"/>
        <v>1</v>
      </c>
      <c r="AA13">
        <f t="shared" si="5"/>
        <v>7</v>
      </c>
      <c r="AB13">
        <f t="shared" si="6"/>
        <v>2024</v>
      </c>
      <c r="AC13" t="str">
        <f t="shared" si="7"/>
        <v>Unique</v>
      </c>
      <c r="AD13" t="str">
        <f t="shared" si="8"/>
        <v>Clean</v>
      </c>
    </row>
    <row r="14" spans="1:30" x14ac:dyDescent="0.3">
      <c r="A14" t="s">
        <v>116</v>
      </c>
      <c r="B14" s="2">
        <v>45646</v>
      </c>
      <c r="C14" s="2">
        <v>45647</v>
      </c>
      <c r="D14" t="s">
        <v>117</v>
      </c>
      <c r="E14" t="s">
        <v>71</v>
      </c>
      <c r="F14" t="s">
        <v>99</v>
      </c>
      <c r="G14" t="s">
        <v>72</v>
      </c>
      <c r="H14" t="s">
        <v>35</v>
      </c>
      <c r="I14" t="s">
        <v>118</v>
      </c>
      <c r="J14" t="s">
        <v>37</v>
      </c>
      <c r="K14" t="s">
        <v>38</v>
      </c>
      <c r="L14" t="s">
        <v>119</v>
      </c>
      <c r="M14" t="s">
        <v>59</v>
      </c>
      <c r="N14">
        <v>1</v>
      </c>
      <c r="O14">
        <v>702.14</v>
      </c>
      <c r="P14" s="3">
        <v>0.15</v>
      </c>
      <c r="Q14">
        <v>596.82000000000005</v>
      </c>
      <c r="R14">
        <v>380.25</v>
      </c>
      <c r="S14">
        <v>216.57</v>
      </c>
      <c r="T14" t="s">
        <v>120</v>
      </c>
      <c r="U14" t="s">
        <v>112</v>
      </c>
      <c r="V14" s="3">
        <f t="shared" si="0"/>
        <v>0.15</v>
      </c>
      <c r="W14">
        <f t="shared" si="1"/>
        <v>596.81899999999996</v>
      </c>
      <c r="X14">
        <f t="shared" si="2"/>
        <v>216.56899999999996</v>
      </c>
      <c r="Y14" s="4">
        <f t="shared" si="3"/>
        <v>0.36287216057129545</v>
      </c>
      <c r="Z14">
        <f t="shared" si="4"/>
        <v>1</v>
      </c>
      <c r="AA14">
        <f t="shared" si="5"/>
        <v>12</v>
      </c>
      <c r="AB14">
        <f t="shared" si="6"/>
        <v>2024</v>
      </c>
      <c r="AC14" t="str">
        <f t="shared" si="7"/>
        <v>Unique</v>
      </c>
      <c r="AD14" t="str">
        <f t="shared" si="8"/>
        <v>Clean</v>
      </c>
    </row>
    <row r="15" spans="1:30" x14ac:dyDescent="0.3">
      <c r="A15" t="s">
        <v>121</v>
      </c>
      <c r="B15" s="2">
        <v>45942</v>
      </c>
      <c r="C15" s="2">
        <v>45946</v>
      </c>
      <c r="D15" t="s">
        <v>122</v>
      </c>
      <c r="E15" t="s">
        <v>123</v>
      </c>
      <c r="F15" t="s">
        <v>46</v>
      </c>
      <c r="G15" t="s">
        <v>72</v>
      </c>
      <c r="H15" t="s">
        <v>73</v>
      </c>
      <c r="I15" t="s">
        <v>74</v>
      </c>
      <c r="J15" t="s">
        <v>37</v>
      </c>
      <c r="K15" t="s">
        <v>57</v>
      </c>
      <c r="L15" t="s">
        <v>124</v>
      </c>
      <c r="M15" t="s">
        <v>40</v>
      </c>
      <c r="N15">
        <v>7</v>
      </c>
      <c r="O15">
        <v>3964.72</v>
      </c>
      <c r="P15" s="3">
        <v>0.05</v>
      </c>
      <c r="Q15">
        <v>26365.39</v>
      </c>
      <c r="R15">
        <v>22306.240000000002</v>
      </c>
      <c r="S15">
        <v>4059.15</v>
      </c>
      <c r="T15" t="s">
        <v>41</v>
      </c>
      <c r="U15" t="s">
        <v>42</v>
      </c>
      <c r="V15" s="3">
        <f t="shared" si="0"/>
        <v>0.05</v>
      </c>
      <c r="W15">
        <f t="shared" si="1"/>
        <v>26365.387999999995</v>
      </c>
      <c r="X15">
        <f t="shared" si="2"/>
        <v>4059.1479999999938</v>
      </c>
      <c r="Y15" s="4">
        <f t="shared" si="3"/>
        <v>0.15395745361304733</v>
      </c>
      <c r="Z15">
        <f t="shared" si="4"/>
        <v>4</v>
      </c>
      <c r="AA15">
        <f t="shared" si="5"/>
        <v>10</v>
      </c>
      <c r="AB15">
        <f t="shared" si="6"/>
        <v>2025</v>
      </c>
      <c r="AC15" t="str">
        <f t="shared" si="7"/>
        <v>Unique</v>
      </c>
      <c r="AD15" t="str">
        <f t="shared" si="8"/>
        <v>Clean</v>
      </c>
    </row>
    <row r="16" spans="1:30" x14ac:dyDescent="0.3">
      <c r="A16" t="s">
        <v>125</v>
      </c>
      <c r="B16" s="2">
        <v>45653</v>
      </c>
      <c r="C16" s="2">
        <v>45654</v>
      </c>
      <c r="D16" t="s">
        <v>126</v>
      </c>
      <c r="E16" t="s">
        <v>127</v>
      </c>
      <c r="F16" t="s">
        <v>33</v>
      </c>
      <c r="G16" t="s">
        <v>72</v>
      </c>
      <c r="H16" t="s">
        <v>35</v>
      </c>
      <c r="I16" t="s">
        <v>118</v>
      </c>
      <c r="J16" t="s">
        <v>83</v>
      </c>
      <c r="K16" t="s">
        <v>89</v>
      </c>
      <c r="L16" t="s">
        <v>128</v>
      </c>
      <c r="M16" t="s">
        <v>68</v>
      </c>
      <c r="N16">
        <v>2</v>
      </c>
      <c r="O16">
        <v>2737.83</v>
      </c>
      <c r="P16" s="3">
        <v>0.25</v>
      </c>
      <c r="Q16">
        <v>4106.74</v>
      </c>
      <c r="R16">
        <v>2666.3</v>
      </c>
      <c r="S16">
        <v>1440.44</v>
      </c>
      <c r="T16" t="s">
        <v>41</v>
      </c>
      <c r="U16" t="s">
        <v>42</v>
      </c>
      <c r="V16" s="3">
        <f t="shared" si="0"/>
        <v>0.25</v>
      </c>
      <c r="W16">
        <f t="shared" si="1"/>
        <v>4106.7449999999999</v>
      </c>
      <c r="X16">
        <f t="shared" si="2"/>
        <v>1440.4449999999997</v>
      </c>
      <c r="Y16" s="4">
        <f t="shared" si="3"/>
        <v>0.35075102057712365</v>
      </c>
      <c r="Z16">
        <f t="shared" si="4"/>
        <v>1</v>
      </c>
      <c r="AA16">
        <f t="shared" si="5"/>
        <v>12</v>
      </c>
      <c r="AB16">
        <f t="shared" si="6"/>
        <v>2024</v>
      </c>
      <c r="AC16" t="str">
        <f t="shared" si="7"/>
        <v>Unique</v>
      </c>
      <c r="AD16" t="str">
        <f t="shared" si="8"/>
        <v>Clean</v>
      </c>
    </row>
    <row r="17" spans="1:30" x14ac:dyDescent="0.3">
      <c r="A17" t="s">
        <v>129</v>
      </c>
      <c r="B17" s="2">
        <v>45482</v>
      </c>
      <c r="C17" s="2">
        <v>45482</v>
      </c>
      <c r="D17" t="s">
        <v>130</v>
      </c>
      <c r="E17" t="s">
        <v>32</v>
      </c>
      <c r="F17" t="s">
        <v>46</v>
      </c>
      <c r="G17" t="s">
        <v>34</v>
      </c>
      <c r="H17" t="s">
        <v>131</v>
      </c>
      <c r="I17" t="s">
        <v>132</v>
      </c>
      <c r="J17" t="s">
        <v>37</v>
      </c>
      <c r="K17" t="s">
        <v>133</v>
      </c>
      <c r="L17" t="s">
        <v>134</v>
      </c>
      <c r="M17" t="s">
        <v>40</v>
      </c>
      <c r="N17">
        <v>6</v>
      </c>
      <c r="O17">
        <v>3965.76</v>
      </c>
      <c r="P17" s="3">
        <v>0</v>
      </c>
      <c r="Q17">
        <v>23794.560000000001</v>
      </c>
      <c r="R17">
        <v>15698.47</v>
      </c>
      <c r="S17">
        <v>8096.09</v>
      </c>
      <c r="T17" t="s">
        <v>41</v>
      </c>
      <c r="U17" t="s">
        <v>42</v>
      </c>
      <c r="V17" s="3">
        <f t="shared" si="0"/>
        <v>0</v>
      </c>
      <c r="W17">
        <f t="shared" si="1"/>
        <v>23794.560000000001</v>
      </c>
      <c r="X17">
        <f t="shared" si="2"/>
        <v>8096.090000000002</v>
      </c>
      <c r="Y17" s="4">
        <f t="shared" si="3"/>
        <v>0.34024962008122872</v>
      </c>
      <c r="Z17">
        <f t="shared" si="4"/>
        <v>0</v>
      </c>
      <c r="AA17">
        <f t="shared" si="5"/>
        <v>7</v>
      </c>
      <c r="AB17">
        <f t="shared" si="6"/>
        <v>2024</v>
      </c>
      <c r="AC17" t="str">
        <f t="shared" si="7"/>
        <v>Unique</v>
      </c>
      <c r="AD17" t="str">
        <f t="shared" si="8"/>
        <v>Clean</v>
      </c>
    </row>
    <row r="18" spans="1:30" x14ac:dyDescent="0.3">
      <c r="A18" t="s">
        <v>135</v>
      </c>
      <c r="B18" s="2">
        <v>45420</v>
      </c>
      <c r="C18" s="2">
        <v>45427</v>
      </c>
      <c r="D18" t="s">
        <v>136</v>
      </c>
      <c r="E18" t="s">
        <v>137</v>
      </c>
      <c r="F18" t="s">
        <v>33</v>
      </c>
      <c r="G18" t="s">
        <v>63</v>
      </c>
      <c r="H18" t="s">
        <v>64</v>
      </c>
      <c r="I18" t="s">
        <v>65</v>
      </c>
      <c r="J18" t="s">
        <v>37</v>
      </c>
      <c r="K18" t="s">
        <v>57</v>
      </c>
      <c r="L18" t="s">
        <v>138</v>
      </c>
      <c r="M18" t="s">
        <v>59</v>
      </c>
      <c r="N18">
        <v>4</v>
      </c>
      <c r="O18">
        <v>3323.51</v>
      </c>
      <c r="P18" s="3">
        <v>0.25</v>
      </c>
      <c r="Q18">
        <v>9970.5300000000007</v>
      </c>
      <c r="R18">
        <v>5668.17</v>
      </c>
      <c r="S18">
        <v>4302.3599999999997</v>
      </c>
      <c r="T18" t="s">
        <v>41</v>
      </c>
      <c r="U18" t="s">
        <v>42</v>
      </c>
      <c r="V18" s="3">
        <f t="shared" si="0"/>
        <v>0.25</v>
      </c>
      <c r="W18">
        <f t="shared" si="1"/>
        <v>9970.5300000000007</v>
      </c>
      <c r="X18">
        <f t="shared" si="2"/>
        <v>4302.3600000000006</v>
      </c>
      <c r="Y18" s="4">
        <f t="shared" si="3"/>
        <v>0.43150765305354882</v>
      </c>
      <c r="Z18">
        <f t="shared" si="4"/>
        <v>7</v>
      </c>
      <c r="AA18">
        <f t="shared" si="5"/>
        <v>5</v>
      </c>
      <c r="AB18">
        <f t="shared" si="6"/>
        <v>2024</v>
      </c>
      <c r="AC18" t="str">
        <f t="shared" si="7"/>
        <v>Unique</v>
      </c>
      <c r="AD18" t="str">
        <f t="shared" si="8"/>
        <v>Clean</v>
      </c>
    </row>
    <row r="19" spans="1:30" x14ac:dyDescent="0.3">
      <c r="A19" t="s">
        <v>139</v>
      </c>
      <c r="B19" s="2">
        <v>45298</v>
      </c>
      <c r="C19" s="2">
        <v>45299</v>
      </c>
      <c r="D19" t="s">
        <v>140</v>
      </c>
      <c r="E19" t="s">
        <v>141</v>
      </c>
      <c r="F19" t="s">
        <v>46</v>
      </c>
      <c r="G19" t="s">
        <v>34</v>
      </c>
      <c r="H19" t="s">
        <v>35</v>
      </c>
      <c r="I19" t="s">
        <v>36</v>
      </c>
      <c r="J19" t="s">
        <v>50</v>
      </c>
      <c r="K19" t="s">
        <v>66</v>
      </c>
      <c r="L19" t="s">
        <v>142</v>
      </c>
      <c r="M19" t="s">
        <v>53</v>
      </c>
      <c r="N19">
        <v>5</v>
      </c>
      <c r="O19">
        <v>1526.78</v>
      </c>
      <c r="P19" s="3">
        <v>0</v>
      </c>
      <c r="Q19">
        <v>7633.9</v>
      </c>
      <c r="R19">
        <v>4706.91</v>
      </c>
      <c r="S19">
        <v>2926.99</v>
      </c>
      <c r="T19" t="s">
        <v>41</v>
      </c>
      <c r="U19" t="s">
        <v>42</v>
      </c>
      <c r="V19" s="3">
        <f t="shared" si="0"/>
        <v>0</v>
      </c>
      <c r="W19">
        <f t="shared" si="1"/>
        <v>7633.9</v>
      </c>
      <c r="X19">
        <f t="shared" si="2"/>
        <v>2926.99</v>
      </c>
      <c r="Y19" s="4">
        <f t="shared" si="3"/>
        <v>0.38342000812166782</v>
      </c>
      <c r="Z19">
        <f t="shared" si="4"/>
        <v>1</v>
      </c>
      <c r="AA19">
        <f t="shared" si="5"/>
        <v>1</v>
      </c>
      <c r="AB19">
        <f t="shared" si="6"/>
        <v>2024</v>
      </c>
      <c r="AC19" t="str">
        <f t="shared" si="7"/>
        <v>Unique</v>
      </c>
      <c r="AD19" t="str">
        <f t="shared" si="8"/>
        <v>Clean</v>
      </c>
    </row>
    <row r="20" spans="1:30" x14ac:dyDescent="0.3">
      <c r="A20" t="s">
        <v>143</v>
      </c>
      <c r="B20" s="2">
        <v>45853</v>
      </c>
      <c r="C20" s="2">
        <v>45855</v>
      </c>
      <c r="D20" t="s">
        <v>144</v>
      </c>
      <c r="E20" t="s">
        <v>137</v>
      </c>
      <c r="F20" t="s">
        <v>104</v>
      </c>
      <c r="G20" t="s">
        <v>34</v>
      </c>
      <c r="H20" t="s">
        <v>145</v>
      </c>
      <c r="I20" t="s">
        <v>146</v>
      </c>
      <c r="J20" t="s">
        <v>83</v>
      </c>
      <c r="K20" t="s">
        <v>89</v>
      </c>
      <c r="L20" t="s">
        <v>147</v>
      </c>
      <c r="M20" t="s">
        <v>59</v>
      </c>
      <c r="N20">
        <v>2</v>
      </c>
      <c r="O20">
        <v>1997.99</v>
      </c>
      <c r="P20" s="3">
        <v>0</v>
      </c>
      <c r="Q20">
        <v>3995.98</v>
      </c>
      <c r="R20">
        <v>2633.2</v>
      </c>
      <c r="S20">
        <v>1362.78</v>
      </c>
      <c r="T20" t="s">
        <v>111</v>
      </c>
      <c r="U20" t="s">
        <v>77</v>
      </c>
      <c r="V20" s="3">
        <f t="shared" si="0"/>
        <v>0</v>
      </c>
      <c r="W20">
        <f t="shared" si="1"/>
        <v>3995.98</v>
      </c>
      <c r="X20">
        <f t="shared" si="2"/>
        <v>1362.7800000000002</v>
      </c>
      <c r="Y20" s="4">
        <f t="shared" si="3"/>
        <v>0.34103774293164635</v>
      </c>
      <c r="Z20">
        <f t="shared" si="4"/>
        <v>2</v>
      </c>
      <c r="AA20">
        <f t="shared" si="5"/>
        <v>7</v>
      </c>
      <c r="AB20">
        <f t="shared" si="6"/>
        <v>2025</v>
      </c>
      <c r="AC20" t="str">
        <f t="shared" si="7"/>
        <v>Unique</v>
      </c>
      <c r="AD20" t="str">
        <f t="shared" si="8"/>
        <v>Warning</v>
      </c>
    </row>
    <row r="21" spans="1:30" x14ac:dyDescent="0.3">
      <c r="A21" t="s">
        <v>148</v>
      </c>
      <c r="B21" s="2">
        <v>45500</v>
      </c>
      <c r="C21" s="2">
        <v>45504</v>
      </c>
      <c r="D21" t="s">
        <v>149</v>
      </c>
      <c r="E21" t="s">
        <v>150</v>
      </c>
      <c r="F21" t="s">
        <v>104</v>
      </c>
      <c r="G21" t="s">
        <v>72</v>
      </c>
      <c r="H21" t="s">
        <v>81</v>
      </c>
      <c r="I21" t="s">
        <v>82</v>
      </c>
      <c r="J21" t="s">
        <v>37</v>
      </c>
      <c r="K21" t="s">
        <v>133</v>
      </c>
      <c r="L21" t="s">
        <v>151</v>
      </c>
      <c r="M21" t="s">
        <v>40</v>
      </c>
      <c r="N21">
        <v>3</v>
      </c>
      <c r="O21">
        <v>3887.94</v>
      </c>
      <c r="P21" s="3">
        <v>-0.19</v>
      </c>
      <c r="Q21">
        <v>9331.06</v>
      </c>
      <c r="R21">
        <v>7529.31</v>
      </c>
      <c r="S21">
        <v>1801.75</v>
      </c>
      <c r="T21" t="s">
        <v>41</v>
      </c>
      <c r="U21" t="s">
        <v>42</v>
      </c>
      <c r="V21" s="3">
        <f t="shared" si="0"/>
        <v>0.19</v>
      </c>
      <c r="W21">
        <f t="shared" si="1"/>
        <v>9447.6941999999999</v>
      </c>
      <c r="X21">
        <f t="shared" si="2"/>
        <v>1918.3841999999995</v>
      </c>
      <c r="Y21" s="4">
        <f t="shared" si="3"/>
        <v>0.2030531640196398</v>
      </c>
      <c r="Z21">
        <f t="shared" si="4"/>
        <v>4</v>
      </c>
      <c r="AA21">
        <f t="shared" si="5"/>
        <v>7</v>
      </c>
      <c r="AB21">
        <f t="shared" si="6"/>
        <v>2024</v>
      </c>
      <c r="AC21" t="str">
        <f t="shared" si="7"/>
        <v>Unique</v>
      </c>
      <c r="AD21" t="str">
        <f t="shared" si="8"/>
        <v>Invalid</v>
      </c>
    </row>
    <row r="22" spans="1:30" x14ac:dyDescent="0.3">
      <c r="A22" t="s">
        <v>152</v>
      </c>
      <c r="B22" s="2">
        <v>45678</v>
      </c>
      <c r="C22" s="2">
        <v>45680</v>
      </c>
      <c r="D22" t="s">
        <v>153</v>
      </c>
      <c r="E22" t="s">
        <v>98</v>
      </c>
      <c r="F22" t="s">
        <v>104</v>
      </c>
      <c r="G22" t="s">
        <v>47</v>
      </c>
      <c r="H22" t="s">
        <v>154</v>
      </c>
      <c r="I22" t="s">
        <v>155</v>
      </c>
      <c r="J22" t="s">
        <v>83</v>
      </c>
      <c r="K22" t="s">
        <v>89</v>
      </c>
      <c r="L22" t="s">
        <v>156</v>
      </c>
      <c r="M22" t="s">
        <v>59</v>
      </c>
      <c r="N22">
        <v>5</v>
      </c>
      <c r="O22">
        <v>4373.0600000000004</v>
      </c>
      <c r="P22" s="3">
        <v>0.25</v>
      </c>
      <c r="Q22">
        <v>16398.98</v>
      </c>
      <c r="R22">
        <v>9556.52</v>
      </c>
      <c r="S22">
        <v>6842.46</v>
      </c>
      <c r="T22" t="s">
        <v>41</v>
      </c>
      <c r="U22" t="s">
        <v>42</v>
      </c>
      <c r="V22" s="3">
        <f t="shared" si="0"/>
        <v>0.25</v>
      </c>
      <c r="W22">
        <f t="shared" si="1"/>
        <v>16398.975000000002</v>
      </c>
      <c r="X22">
        <f t="shared" si="2"/>
        <v>6842.4550000000017</v>
      </c>
      <c r="Y22" s="4">
        <f t="shared" si="3"/>
        <v>0.4172489439126531</v>
      </c>
      <c r="Z22">
        <f t="shared" si="4"/>
        <v>2</v>
      </c>
      <c r="AA22">
        <f t="shared" si="5"/>
        <v>1</v>
      </c>
      <c r="AB22">
        <f t="shared" si="6"/>
        <v>2025</v>
      </c>
      <c r="AC22" t="str">
        <f t="shared" si="7"/>
        <v>Unique</v>
      </c>
      <c r="AD22" t="str">
        <f t="shared" si="8"/>
        <v>Clean</v>
      </c>
    </row>
    <row r="23" spans="1:30" x14ac:dyDescent="0.3">
      <c r="A23" t="s">
        <v>157</v>
      </c>
      <c r="B23" s="2">
        <v>45681</v>
      </c>
      <c r="C23" s="2">
        <v>45687</v>
      </c>
      <c r="D23" t="s">
        <v>158</v>
      </c>
      <c r="E23" t="s">
        <v>141</v>
      </c>
      <c r="F23" t="s">
        <v>33</v>
      </c>
      <c r="G23" t="s">
        <v>72</v>
      </c>
      <c r="H23" t="s">
        <v>81</v>
      </c>
      <c r="I23" t="s">
        <v>82</v>
      </c>
      <c r="J23" t="s">
        <v>50</v>
      </c>
      <c r="K23" t="s">
        <v>66</v>
      </c>
      <c r="L23" t="s">
        <v>159</v>
      </c>
      <c r="M23" t="s">
        <v>40</v>
      </c>
      <c r="N23">
        <v>4</v>
      </c>
      <c r="O23">
        <v>697.69</v>
      </c>
      <c r="P23" s="3">
        <v>-0.23</v>
      </c>
      <c r="Q23">
        <v>2790.76</v>
      </c>
      <c r="R23">
        <v>2037.71</v>
      </c>
      <c r="S23">
        <v>753.05</v>
      </c>
      <c r="T23" t="s">
        <v>41</v>
      </c>
      <c r="U23" t="s">
        <v>42</v>
      </c>
      <c r="V23" s="3">
        <f t="shared" si="0"/>
        <v>0.23</v>
      </c>
      <c r="W23">
        <f t="shared" si="1"/>
        <v>2148.8852000000002</v>
      </c>
      <c r="X23">
        <f t="shared" si="2"/>
        <v>111.17520000000013</v>
      </c>
      <c r="Y23" s="4">
        <f t="shared" si="3"/>
        <v>5.1736221181103638E-2</v>
      </c>
      <c r="Z23">
        <f t="shared" si="4"/>
        <v>6</v>
      </c>
      <c r="AA23">
        <f t="shared" si="5"/>
        <v>1</v>
      </c>
      <c r="AB23">
        <f t="shared" si="6"/>
        <v>2025</v>
      </c>
      <c r="AC23" t="str">
        <f t="shared" si="7"/>
        <v>Unique</v>
      </c>
      <c r="AD23" t="str">
        <f t="shared" si="8"/>
        <v>Invalid</v>
      </c>
    </row>
    <row r="24" spans="1:30" x14ac:dyDescent="0.3">
      <c r="A24" t="s">
        <v>160</v>
      </c>
      <c r="B24" s="2">
        <v>45676</v>
      </c>
      <c r="C24" s="2">
        <v>45678</v>
      </c>
      <c r="D24" t="s">
        <v>161</v>
      </c>
      <c r="E24" t="s">
        <v>45</v>
      </c>
      <c r="F24" t="s">
        <v>33</v>
      </c>
      <c r="G24" t="s">
        <v>63</v>
      </c>
      <c r="H24" t="s">
        <v>64</v>
      </c>
      <c r="I24" t="s">
        <v>65</v>
      </c>
      <c r="J24" t="s">
        <v>37</v>
      </c>
      <c r="K24" t="s">
        <v>162</v>
      </c>
      <c r="L24" t="s">
        <v>163</v>
      </c>
      <c r="M24" t="s">
        <v>68</v>
      </c>
      <c r="N24">
        <v>8</v>
      </c>
      <c r="O24">
        <v>1219.3399999999999</v>
      </c>
      <c r="P24" s="3">
        <v>0.15</v>
      </c>
      <c r="Q24">
        <v>8291.51</v>
      </c>
      <c r="R24">
        <v>6685.03</v>
      </c>
      <c r="S24">
        <v>1606.48</v>
      </c>
      <c r="T24" t="s">
        <v>164</v>
      </c>
      <c r="U24" t="s">
        <v>112</v>
      </c>
      <c r="V24" s="3">
        <f t="shared" si="0"/>
        <v>0.15</v>
      </c>
      <c r="W24">
        <f t="shared" si="1"/>
        <v>8291.5119999999988</v>
      </c>
      <c r="X24">
        <f t="shared" si="2"/>
        <v>1606.4819999999991</v>
      </c>
      <c r="Y24" s="4">
        <f t="shared" si="3"/>
        <v>0.19375018693816029</v>
      </c>
      <c r="Z24">
        <f t="shared" si="4"/>
        <v>2</v>
      </c>
      <c r="AA24">
        <f t="shared" si="5"/>
        <v>1</v>
      </c>
      <c r="AB24">
        <f t="shared" si="6"/>
        <v>2025</v>
      </c>
      <c r="AC24" t="str">
        <f t="shared" si="7"/>
        <v>Unique</v>
      </c>
      <c r="AD24" t="str">
        <f t="shared" si="8"/>
        <v>Warning</v>
      </c>
    </row>
    <row r="25" spans="1:30" x14ac:dyDescent="0.3">
      <c r="A25" t="s">
        <v>165</v>
      </c>
      <c r="B25" s="2">
        <v>45898</v>
      </c>
      <c r="C25" s="2">
        <v>45900</v>
      </c>
      <c r="D25" t="s">
        <v>166</v>
      </c>
      <c r="E25" t="s">
        <v>127</v>
      </c>
      <c r="F25" t="s">
        <v>104</v>
      </c>
      <c r="G25" t="s">
        <v>47</v>
      </c>
      <c r="H25" t="s">
        <v>154</v>
      </c>
      <c r="I25" t="s">
        <v>155</v>
      </c>
      <c r="J25" t="s">
        <v>50</v>
      </c>
      <c r="K25" t="s">
        <v>167</v>
      </c>
      <c r="L25" t="s">
        <v>168</v>
      </c>
      <c r="M25" t="s">
        <v>59</v>
      </c>
      <c r="N25">
        <v>4</v>
      </c>
      <c r="O25">
        <v>1958.01</v>
      </c>
      <c r="P25" s="3">
        <v>0.2</v>
      </c>
      <c r="Q25">
        <v>6265.63</v>
      </c>
      <c r="R25">
        <v>4321.8599999999997</v>
      </c>
      <c r="S25">
        <v>1943.77</v>
      </c>
      <c r="T25" t="s">
        <v>41</v>
      </c>
      <c r="U25" t="s">
        <v>42</v>
      </c>
      <c r="V25" s="3">
        <f t="shared" si="0"/>
        <v>0.2</v>
      </c>
      <c r="W25">
        <f t="shared" si="1"/>
        <v>6265.6320000000005</v>
      </c>
      <c r="X25">
        <f t="shared" si="2"/>
        <v>1943.7720000000008</v>
      </c>
      <c r="Y25" s="4">
        <f t="shared" si="3"/>
        <v>0.31022760353624351</v>
      </c>
      <c r="Z25">
        <f t="shared" si="4"/>
        <v>2</v>
      </c>
      <c r="AA25">
        <f t="shared" si="5"/>
        <v>8</v>
      </c>
      <c r="AB25">
        <f t="shared" si="6"/>
        <v>2025</v>
      </c>
      <c r="AC25" t="str">
        <f t="shared" si="7"/>
        <v>Unique</v>
      </c>
      <c r="AD25" t="str">
        <f t="shared" si="8"/>
        <v>Clean</v>
      </c>
    </row>
    <row r="26" spans="1:30" x14ac:dyDescent="0.3">
      <c r="A26" t="s">
        <v>169</v>
      </c>
      <c r="B26" s="2">
        <v>45355</v>
      </c>
      <c r="C26" s="2">
        <v>45352</v>
      </c>
      <c r="D26" t="s">
        <v>170</v>
      </c>
      <c r="E26" t="s">
        <v>171</v>
      </c>
      <c r="F26" t="s">
        <v>33</v>
      </c>
      <c r="G26" t="s">
        <v>34</v>
      </c>
      <c r="H26" t="s">
        <v>131</v>
      </c>
      <c r="I26" t="s">
        <v>132</v>
      </c>
      <c r="J26" t="s">
        <v>37</v>
      </c>
      <c r="K26" t="s">
        <v>57</v>
      </c>
      <c r="L26" t="s">
        <v>172</v>
      </c>
      <c r="M26" t="s">
        <v>68</v>
      </c>
      <c r="N26">
        <v>4</v>
      </c>
      <c r="O26">
        <v>4492.9399999999996</v>
      </c>
      <c r="P26" s="3">
        <v>0.25</v>
      </c>
      <c r="Q26">
        <v>13478.82</v>
      </c>
      <c r="R26">
        <v>10937.35</v>
      </c>
      <c r="S26">
        <v>2541.4699999999998</v>
      </c>
      <c r="T26" t="s">
        <v>120</v>
      </c>
      <c r="U26" t="s">
        <v>77</v>
      </c>
      <c r="V26" s="3">
        <f t="shared" si="0"/>
        <v>0.25</v>
      </c>
      <c r="W26">
        <f t="shared" si="1"/>
        <v>13478.82</v>
      </c>
      <c r="X26">
        <f t="shared" si="2"/>
        <v>2541.4699999999993</v>
      </c>
      <c r="Y26" s="4">
        <f t="shared" si="3"/>
        <v>0.18855285551702591</v>
      </c>
      <c r="Z26">
        <f t="shared" si="4"/>
        <v>-3</v>
      </c>
      <c r="AA26">
        <f t="shared" si="5"/>
        <v>3</v>
      </c>
      <c r="AB26">
        <f t="shared" si="6"/>
        <v>2024</v>
      </c>
      <c r="AC26" t="str">
        <f t="shared" si="7"/>
        <v>Unique</v>
      </c>
      <c r="AD26" t="str">
        <f t="shared" si="8"/>
        <v>Invalid</v>
      </c>
    </row>
    <row r="27" spans="1:30" x14ac:dyDescent="0.3">
      <c r="A27" t="s">
        <v>173</v>
      </c>
      <c r="B27" s="2">
        <v>45576</v>
      </c>
      <c r="C27" s="2">
        <v>45584</v>
      </c>
      <c r="D27" t="s">
        <v>174</v>
      </c>
      <c r="E27" t="s">
        <v>62</v>
      </c>
      <c r="F27" t="s">
        <v>99</v>
      </c>
      <c r="G27" t="s">
        <v>47</v>
      </c>
      <c r="H27" t="s">
        <v>175</v>
      </c>
      <c r="I27" t="s">
        <v>176</v>
      </c>
      <c r="J27" t="s">
        <v>83</v>
      </c>
      <c r="K27" t="s">
        <v>84</v>
      </c>
      <c r="L27" t="s">
        <v>177</v>
      </c>
      <c r="M27" t="s">
        <v>59</v>
      </c>
      <c r="N27">
        <v>2</v>
      </c>
      <c r="O27">
        <v>4315.2</v>
      </c>
      <c r="P27" s="3">
        <v>0.15</v>
      </c>
      <c r="Q27">
        <v>7335.84</v>
      </c>
      <c r="R27">
        <v>4968.41</v>
      </c>
      <c r="S27">
        <v>2367.4299999999998</v>
      </c>
      <c r="T27" t="s">
        <v>41</v>
      </c>
      <c r="U27" t="s">
        <v>42</v>
      </c>
      <c r="V27" s="3">
        <f t="shared" si="0"/>
        <v>0.15</v>
      </c>
      <c r="W27">
        <f t="shared" si="1"/>
        <v>7335.8399999999992</v>
      </c>
      <c r="X27">
        <f t="shared" si="2"/>
        <v>2367.4299999999994</v>
      </c>
      <c r="Y27" s="4">
        <f t="shared" si="3"/>
        <v>0.32272105171323251</v>
      </c>
      <c r="Z27">
        <f t="shared" si="4"/>
        <v>8</v>
      </c>
      <c r="AA27">
        <f t="shared" si="5"/>
        <v>10</v>
      </c>
      <c r="AB27">
        <f t="shared" si="6"/>
        <v>2024</v>
      </c>
      <c r="AC27" t="str">
        <f t="shared" si="7"/>
        <v>Unique</v>
      </c>
      <c r="AD27" t="str">
        <f t="shared" si="8"/>
        <v>Clean</v>
      </c>
    </row>
    <row r="28" spans="1:30" x14ac:dyDescent="0.3">
      <c r="A28" t="s">
        <v>178</v>
      </c>
      <c r="B28" s="2">
        <v>45619</v>
      </c>
      <c r="C28" s="2">
        <v>45619</v>
      </c>
      <c r="D28" t="s">
        <v>179</v>
      </c>
      <c r="E28" t="s">
        <v>171</v>
      </c>
      <c r="F28" t="s">
        <v>99</v>
      </c>
      <c r="G28" t="s">
        <v>34</v>
      </c>
      <c r="H28" t="s">
        <v>145</v>
      </c>
      <c r="I28" t="s">
        <v>146</v>
      </c>
      <c r="J28" t="s">
        <v>83</v>
      </c>
      <c r="K28" t="s">
        <v>180</v>
      </c>
      <c r="L28" t="s">
        <v>181</v>
      </c>
      <c r="M28" t="s">
        <v>68</v>
      </c>
      <c r="N28">
        <v>4</v>
      </c>
      <c r="O28">
        <v>716.13</v>
      </c>
      <c r="P28" s="3">
        <v>0.1</v>
      </c>
      <c r="Q28">
        <v>2578.0700000000002</v>
      </c>
      <c r="R28">
        <v>1527.55</v>
      </c>
      <c r="S28">
        <v>1050.52</v>
      </c>
      <c r="T28" t="s">
        <v>41</v>
      </c>
      <c r="U28" t="s">
        <v>112</v>
      </c>
      <c r="V28" s="3">
        <f t="shared" si="0"/>
        <v>0.1</v>
      </c>
      <c r="W28">
        <f t="shared" si="1"/>
        <v>2578.0680000000002</v>
      </c>
      <c r="X28">
        <f t="shared" si="2"/>
        <v>1050.5180000000003</v>
      </c>
      <c r="Y28" s="4">
        <f t="shared" si="3"/>
        <v>0.40748265755596835</v>
      </c>
      <c r="Z28">
        <f t="shared" si="4"/>
        <v>0</v>
      </c>
      <c r="AA28">
        <f t="shared" si="5"/>
        <v>11</v>
      </c>
      <c r="AB28">
        <f t="shared" si="6"/>
        <v>2024</v>
      </c>
      <c r="AC28" t="str">
        <f t="shared" si="7"/>
        <v>Unique</v>
      </c>
      <c r="AD28" t="str">
        <f t="shared" si="8"/>
        <v>Clean</v>
      </c>
    </row>
    <row r="29" spans="1:30" x14ac:dyDescent="0.3">
      <c r="A29" t="s">
        <v>182</v>
      </c>
      <c r="B29" s="2">
        <v>45929</v>
      </c>
      <c r="C29" s="2">
        <v>45935</v>
      </c>
      <c r="D29" t="s">
        <v>183</v>
      </c>
      <c r="E29" t="s">
        <v>62</v>
      </c>
      <c r="F29" t="s">
        <v>46</v>
      </c>
      <c r="G29" t="s">
        <v>63</v>
      </c>
      <c r="H29" t="s">
        <v>184</v>
      </c>
      <c r="I29" t="s">
        <v>185</v>
      </c>
      <c r="J29" t="s">
        <v>37</v>
      </c>
      <c r="K29" t="s">
        <v>38</v>
      </c>
      <c r="L29" t="s">
        <v>186</v>
      </c>
      <c r="M29" t="s">
        <v>40</v>
      </c>
      <c r="N29">
        <v>5</v>
      </c>
      <c r="O29">
        <v>1806.51</v>
      </c>
      <c r="P29" s="3">
        <v>0.25</v>
      </c>
      <c r="Q29">
        <v>6774.41</v>
      </c>
      <c r="R29">
        <v>4710.3599999999997</v>
      </c>
      <c r="S29">
        <v>2064.0500000000002</v>
      </c>
      <c r="T29" t="s">
        <v>164</v>
      </c>
      <c r="U29" t="s">
        <v>112</v>
      </c>
      <c r="V29" s="3">
        <f t="shared" si="0"/>
        <v>0.25</v>
      </c>
      <c r="W29">
        <f t="shared" si="1"/>
        <v>6774.4124999999995</v>
      </c>
      <c r="X29">
        <f t="shared" si="2"/>
        <v>2064.0524999999998</v>
      </c>
      <c r="Y29" s="4">
        <f t="shared" si="3"/>
        <v>0.30468361647596748</v>
      </c>
      <c r="Z29">
        <f t="shared" si="4"/>
        <v>6</v>
      </c>
      <c r="AA29">
        <f t="shared" si="5"/>
        <v>9</v>
      </c>
      <c r="AB29">
        <f t="shared" si="6"/>
        <v>2025</v>
      </c>
      <c r="AC29" t="str">
        <f t="shared" si="7"/>
        <v>Unique</v>
      </c>
      <c r="AD29" t="str">
        <f t="shared" si="8"/>
        <v>Warning</v>
      </c>
    </row>
    <row r="30" spans="1:30" x14ac:dyDescent="0.3">
      <c r="A30" t="s">
        <v>187</v>
      </c>
      <c r="B30" s="2">
        <v>45576</v>
      </c>
      <c r="C30" s="2">
        <v>45583</v>
      </c>
      <c r="D30" t="s">
        <v>188</v>
      </c>
      <c r="E30" t="s">
        <v>71</v>
      </c>
      <c r="F30" t="s">
        <v>104</v>
      </c>
      <c r="G30" t="s">
        <v>72</v>
      </c>
      <c r="H30" t="s">
        <v>189</v>
      </c>
      <c r="I30" t="s">
        <v>190</v>
      </c>
      <c r="J30" t="s">
        <v>83</v>
      </c>
      <c r="K30" t="s">
        <v>180</v>
      </c>
      <c r="L30" t="s">
        <v>191</v>
      </c>
      <c r="M30" t="s">
        <v>40</v>
      </c>
      <c r="N30">
        <v>2</v>
      </c>
      <c r="O30">
        <v>1942.22</v>
      </c>
      <c r="P30" s="3">
        <v>0.25</v>
      </c>
      <c r="Q30">
        <v>2913.33</v>
      </c>
      <c r="R30">
        <v>2122.33</v>
      </c>
      <c r="S30">
        <v>791</v>
      </c>
      <c r="T30" t="s">
        <v>111</v>
      </c>
      <c r="U30" t="s">
        <v>77</v>
      </c>
      <c r="V30" s="3">
        <f t="shared" si="0"/>
        <v>0.25</v>
      </c>
      <c r="W30">
        <f t="shared" si="1"/>
        <v>2913.33</v>
      </c>
      <c r="X30">
        <f t="shared" si="2"/>
        <v>791</v>
      </c>
      <c r="Y30" s="4">
        <f t="shared" si="3"/>
        <v>0.27151060813570727</v>
      </c>
      <c r="Z30">
        <f t="shared" si="4"/>
        <v>7</v>
      </c>
      <c r="AA30">
        <f t="shared" si="5"/>
        <v>10</v>
      </c>
      <c r="AB30">
        <f t="shared" si="6"/>
        <v>2024</v>
      </c>
      <c r="AC30" t="str">
        <f t="shared" si="7"/>
        <v>Unique</v>
      </c>
      <c r="AD30" t="str">
        <f t="shared" si="8"/>
        <v>Warning</v>
      </c>
    </row>
    <row r="31" spans="1:30" x14ac:dyDescent="0.3">
      <c r="A31" t="s">
        <v>192</v>
      </c>
      <c r="B31" s="2">
        <v>45882</v>
      </c>
      <c r="C31" s="2">
        <v>45882</v>
      </c>
      <c r="D31" t="s">
        <v>193</v>
      </c>
      <c r="E31" t="s">
        <v>150</v>
      </c>
      <c r="F31" t="s">
        <v>104</v>
      </c>
      <c r="G31" t="s">
        <v>63</v>
      </c>
      <c r="H31" t="s">
        <v>194</v>
      </c>
      <c r="I31" t="s">
        <v>195</v>
      </c>
      <c r="J31" t="s">
        <v>83</v>
      </c>
      <c r="K31" t="s">
        <v>180</v>
      </c>
      <c r="L31" t="s">
        <v>196</v>
      </c>
      <c r="M31" t="s">
        <v>68</v>
      </c>
      <c r="N31">
        <v>1</v>
      </c>
      <c r="O31">
        <v>256.01</v>
      </c>
      <c r="P31" s="3">
        <v>0.15</v>
      </c>
      <c r="Q31">
        <v>217.61</v>
      </c>
      <c r="R31">
        <v>119.77</v>
      </c>
      <c r="S31">
        <v>97.84</v>
      </c>
      <c r="T31" t="s">
        <v>41</v>
      </c>
      <c r="U31" t="s">
        <v>42</v>
      </c>
      <c r="V31" s="3">
        <f t="shared" si="0"/>
        <v>0.15</v>
      </c>
      <c r="W31">
        <f t="shared" si="1"/>
        <v>217.60849999999999</v>
      </c>
      <c r="X31">
        <f t="shared" si="2"/>
        <v>97.838499999999996</v>
      </c>
      <c r="Y31" s="4">
        <f t="shared" si="3"/>
        <v>0.44960789675035673</v>
      </c>
      <c r="Z31">
        <f t="shared" si="4"/>
        <v>0</v>
      </c>
      <c r="AA31">
        <f t="shared" si="5"/>
        <v>8</v>
      </c>
      <c r="AB31">
        <f t="shared" si="6"/>
        <v>2025</v>
      </c>
      <c r="AC31" t="str">
        <f t="shared" si="7"/>
        <v>Unique</v>
      </c>
      <c r="AD31" t="str">
        <f t="shared" si="8"/>
        <v>Clean</v>
      </c>
    </row>
    <row r="32" spans="1:30" x14ac:dyDescent="0.3">
      <c r="A32" t="s">
        <v>197</v>
      </c>
      <c r="B32" s="2">
        <v>45331</v>
      </c>
      <c r="C32" s="2">
        <v>45334</v>
      </c>
      <c r="D32" t="s">
        <v>198</v>
      </c>
      <c r="E32" t="s">
        <v>71</v>
      </c>
      <c r="F32" t="s">
        <v>99</v>
      </c>
      <c r="G32" t="s">
        <v>72</v>
      </c>
      <c r="H32" t="s">
        <v>199</v>
      </c>
      <c r="I32" t="s">
        <v>200</v>
      </c>
      <c r="J32" t="s">
        <v>37</v>
      </c>
      <c r="K32" t="s">
        <v>100</v>
      </c>
      <c r="L32" t="s">
        <v>201</v>
      </c>
      <c r="M32" t="s">
        <v>59</v>
      </c>
      <c r="N32">
        <v>1</v>
      </c>
      <c r="O32">
        <v>3421.77</v>
      </c>
      <c r="P32" s="3">
        <v>0.1</v>
      </c>
      <c r="Q32">
        <v>3079.59</v>
      </c>
      <c r="R32">
        <v>2001.89</v>
      </c>
      <c r="S32">
        <v>1077.7</v>
      </c>
      <c r="T32" t="s">
        <v>41</v>
      </c>
      <c r="U32" t="s">
        <v>42</v>
      </c>
      <c r="V32" s="3">
        <f t="shared" si="0"/>
        <v>0.1</v>
      </c>
      <c r="W32">
        <f t="shared" si="1"/>
        <v>3079.5929999999998</v>
      </c>
      <c r="X32">
        <f t="shared" si="2"/>
        <v>1077.7029999999997</v>
      </c>
      <c r="Y32" s="4">
        <f t="shared" si="3"/>
        <v>0.34994981479695525</v>
      </c>
      <c r="Z32">
        <f t="shared" si="4"/>
        <v>3</v>
      </c>
      <c r="AA32">
        <f t="shared" si="5"/>
        <v>2</v>
      </c>
      <c r="AB32">
        <f t="shared" si="6"/>
        <v>2024</v>
      </c>
      <c r="AC32" t="str">
        <f t="shared" si="7"/>
        <v>Unique</v>
      </c>
      <c r="AD32" t="str">
        <f t="shared" si="8"/>
        <v>Clean</v>
      </c>
    </row>
    <row r="33" spans="1:30" x14ac:dyDescent="0.3">
      <c r="A33" t="s">
        <v>202</v>
      </c>
      <c r="B33" s="2">
        <v>45823</v>
      </c>
      <c r="C33" s="2">
        <v>45827</v>
      </c>
      <c r="D33" t="s">
        <v>203</v>
      </c>
      <c r="E33" t="s">
        <v>32</v>
      </c>
      <c r="F33" t="s">
        <v>46</v>
      </c>
      <c r="G33" t="s">
        <v>72</v>
      </c>
      <c r="H33" t="s">
        <v>81</v>
      </c>
      <c r="I33" t="s">
        <v>82</v>
      </c>
      <c r="J33" t="s">
        <v>37</v>
      </c>
      <c r="K33" t="s">
        <v>38</v>
      </c>
      <c r="L33" t="s">
        <v>204</v>
      </c>
      <c r="M33" t="s">
        <v>40</v>
      </c>
      <c r="N33">
        <v>9</v>
      </c>
      <c r="O33">
        <v>3092.55</v>
      </c>
      <c r="P33" s="3">
        <v>0</v>
      </c>
      <c r="Q33">
        <v>27832.95</v>
      </c>
      <c r="R33">
        <v>17769.75</v>
      </c>
      <c r="S33">
        <v>10063.200000000001</v>
      </c>
      <c r="T33" t="s">
        <v>164</v>
      </c>
      <c r="U33" t="s">
        <v>112</v>
      </c>
      <c r="V33" s="3">
        <f t="shared" si="0"/>
        <v>0</v>
      </c>
      <c r="W33">
        <f t="shared" si="1"/>
        <v>27832.95</v>
      </c>
      <c r="X33">
        <f t="shared" si="2"/>
        <v>10063.200000000001</v>
      </c>
      <c r="Y33" s="4">
        <f t="shared" si="3"/>
        <v>0.36155707533696574</v>
      </c>
      <c r="Z33">
        <f t="shared" si="4"/>
        <v>4</v>
      </c>
      <c r="AA33">
        <f t="shared" si="5"/>
        <v>6</v>
      </c>
      <c r="AB33">
        <f t="shared" si="6"/>
        <v>2025</v>
      </c>
      <c r="AC33" t="str">
        <f t="shared" si="7"/>
        <v>Unique</v>
      </c>
      <c r="AD33" t="str">
        <f t="shared" si="8"/>
        <v>Warning</v>
      </c>
    </row>
    <row r="34" spans="1:30" x14ac:dyDescent="0.3">
      <c r="A34" t="s">
        <v>205</v>
      </c>
      <c r="B34" s="2">
        <v>45618</v>
      </c>
      <c r="C34" s="2">
        <v>45622</v>
      </c>
      <c r="D34" t="s">
        <v>206</v>
      </c>
      <c r="E34" t="s">
        <v>137</v>
      </c>
      <c r="F34" t="s">
        <v>99</v>
      </c>
      <c r="G34" t="s">
        <v>63</v>
      </c>
      <c r="H34" t="s">
        <v>93</v>
      </c>
      <c r="I34" t="s">
        <v>94</v>
      </c>
      <c r="J34" t="s">
        <v>83</v>
      </c>
      <c r="K34" t="s">
        <v>180</v>
      </c>
      <c r="L34" t="s">
        <v>207</v>
      </c>
      <c r="M34" t="s">
        <v>40</v>
      </c>
      <c r="N34">
        <v>3</v>
      </c>
      <c r="O34">
        <v>4001.25</v>
      </c>
      <c r="P34" s="3"/>
      <c r="Q34">
        <v>9002.81</v>
      </c>
      <c r="R34">
        <v>7529.92</v>
      </c>
      <c r="S34">
        <v>1472.89</v>
      </c>
      <c r="T34" t="s">
        <v>41</v>
      </c>
      <c r="U34" t="s">
        <v>42</v>
      </c>
      <c r="V34" s="3">
        <f t="shared" si="0"/>
        <v>0</v>
      </c>
      <c r="W34">
        <f t="shared" si="1"/>
        <v>12003.75</v>
      </c>
      <c r="X34">
        <f t="shared" si="2"/>
        <v>4473.83</v>
      </c>
      <c r="Y34" s="4">
        <f t="shared" si="3"/>
        <v>0.37270269707383108</v>
      </c>
      <c r="Z34">
        <f t="shared" si="4"/>
        <v>4</v>
      </c>
      <c r="AA34">
        <f t="shared" si="5"/>
        <v>11</v>
      </c>
      <c r="AB34">
        <f t="shared" si="6"/>
        <v>2024</v>
      </c>
      <c r="AC34" t="str">
        <f t="shared" si="7"/>
        <v>Unique</v>
      </c>
      <c r="AD34" t="str">
        <f t="shared" si="8"/>
        <v>Clean</v>
      </c>
    </row>
    <row r="35" spans="1:30" x14ac:dyDescent="0.3">
      <c r="A35" t="s">
        <v>208</v>
      </c>
      <c r="B35" s="2">
        <v>45495</v>
      </c>
      <c r="C35" s="2">
        <v>45500</v>
      </c>
      <c r="D35" t="s">
        <v>209</v>
      </c>
      <c r="E35" t="s">
        <v>123</v>
      </c>
      <c r="F35" t="s">
        <v>104</v>
      </c>
      <c r="G35" t="s">
        <v>72</v>
      </c>
      <c r="H35" t="s">
        <v>199</v>
      </c>
      <c r="I35" t="s">
        <v>200</v>
      </c>
      <c r="J35" t="s">
        <v>50</v>
      </c>
      <c r="K35" t="s">
        <v>51</v>
      </c>
      <c r="L35" t="s">
        <v>210</v>
      </c>
      <c r="M35" t="s">
        <v>53</v>
      </c>
      <c r="N35">
        <v>7</v>
      </c>
      <c r="O35">
        <v>492.41</v>
      </c>
      <c r="P35" s="3">
        <v>0.25</v>
      </c>
      <c r="Q35">
        <v>2585.15</v>
      </c>
      <c r="R35">
        <v>2070.73</v>
      </c>
      <c r="S35">
        <v>514.41999999999996</v>
      </c>
      <c r="T35" t="s">
        <v>41</v>
      </c>
      <c r="U35" t="s">
        <v>42</v>
      </c>
      <c r="V35" s="3">
        <f t="shared" si="0"/>
        <v>0.25</v>
      </c>
      <c r="W35">
        <f t="shared" si="1"/>
        <v>2585.1525000000001</v>
      </c>
      <c r="X35">
        <f t="shared" si="2"/>
        <v>514.42250000000013</v>
      </c>
      <c r="Y35" s="4">
        <f t="shared" si="3"/>
        <v>0.19899116203009304</v>
      </c>
      <c r="Z35">
        <f t="shared" si="4"/>
        <v>5</v>
      </c>
      <c r="AA35">
        <f t="shared" si="5"/>
        <v>7</v>
      </c>
      <c r="AB35">
        <f t="shared" si="6"/>
        <v>2024</v>
      </c>
      <c r="AC35" t="str">
        <f t="shared" si="7"/>
        <v>Unique</v>
      </c>
      <c r="AD35" t="str">
        <f t="shared" si="8"/>
        <v>Clean</v>
      </c>
    </row>
    <row r="36" spans="1:30" x14ac:dyDescent="0.3">
      <c r="A36" t="s">
        <v>211</v>
      </c>
      <c r="B36" s="2">
        <v>45688</v>
      </c>
      <c r="C36" s="2">
        <v>45693</v>
      </c>
      <c r="D36" t="s">
        <v>212</v>
      </c>
      <c r="E36" t="s">
        <v>123</v>
      </c>
      <c r="F36" t="s">
        <v>104</v>
      </c>
      <c r="G36" t="s">
        <v>47</v>
      </c>
      <c r="H36" t="s">
        <v>108</v>
      </c>
      <c r="I36" t="s">
        <v>109</v>
      </c>
      <c r="J36" t="s">
        <v>50</v>
      </c>
      <c r="K36" t="s">
        <v>75</v>
      </c>
      <c r="L36" t="s">
        <v>213</v>
      </c>
      <c r="M36" t="s">
        <v>214</v>
      </c>
      <c r="N36">
        <v>2</v>
      </c>
      <c r="O36">
        <v>4159.6899999999996</v>
      </c>
      <c r="P36" s="3">
        <v>0.2</v>
      </c>
      <c r="Q36">
        <v>6655.5</v>
      </c>
      <c r="R36">
        <v>4340.21</v>
      </c>
      <c r="S36">
        <v>2607.3200000000002</v>
      </c>
      <c r="T36" t="s">
        <v>41</v>
      </c>
      <c r="U36" t="s">
        <v>42</v>
      </c>
      <c r="V36" s="3">
        <f t="shared" si="0"/>
        <v>0.2</v>
      </c>
      <c r="W36">
        <f t="shared" si="1"/>
        <v>6655.5039999999999</v>
      </c>
      <c r="X36">
        <f t="shared" si="2"/>
        <v>2315.2939999999999</v>
      </c>
      <c r="Y36" s="4">
        <f t="shared" si="3"/>
        <v>0.34787658455317583</v>
      </c>
      <c r="Z36">
        <f t="shared" si="4"/>
        <v>5</v>
      </c>
      <c r="AA36">
        <f t="shared" si="5"/>
        <v>1</v>
      </c>
      <c r="AB36">
        <f t="shared" si="6"/>
        <v>2025</v>
      </c>
      <c r="AC36" t="str">
        <f t="shared" si="7"/>
        <v>Unique</v>
      </c>
      <c r="AD36" t="str">
        <f t="shared" si="8"/>
        <v>Warning</v>
      </c>
    </row>
    <row r="37" spans="1:30" x14ac:dyDescent="0.3">
      <c r="A37" t="s">
        <v>215</v>
      </c>
      <c r="B37" s="2">
        <v>45441</v>
      </c>
      <c r="C37" s="2">
        <v>45441</v>
      </c>
      <c r="D37" t="s">
        <v>216</v>
      </c>
      <c r="E37" t="s">
        <v>141</v>
      </c>
      <c r="F37" t="s">
        <v>46</v>
      </c>
      <c r="G37" t="s">
        <v>72</v>
      </c>
      <c r="H37" t="s">
        <v>189</v>
      </c>
      <c r="I37" t="s">
        <v>190</v>
      </c>
      <c r="J37" t="s">
        <v>50</v>
      </c>
      <c r="K37" t="s">
        <v>167</v>
      </c>
      <c r="L37" t="s">
        <v>217</v>
      </c>
      <c r="M37" t="s">
        <v>40</v>
      </c>
      <c r="N37">
        <v>8</v>
      </c>
      <c r="O37">
        <v>2507.12</v>
      </c>
      <c r="P37" s="3">
        <v>0.05</v>
      </c>
      <c r="Q37">
        <v>19054.11</v>
      </c>
      <c r="R37">
        <v>15313.83</v>
      </c>
      <c r="S37">
        <v>3740.28</v>
      </c>
      <c r="T37" t="s">
        <v>120</v>
      </c>
      <c r="U37" t="s">
        <v>112</v>
      </c>
      <c r="V37" s="3">
        <f t="shared" si="0"/>
        <v>0.05</v>
      </c>
      <c r="W37">
        <f t="shared" si="1"/>
        <v>19054.111999999997</v>
      </c>
      <c r="X37">
        <f t="shared" si="2"/>
        <v>3740.2819999999974</v>
      </c>
      <c r="Y37" s="4">
        <f t="shared" si="3"/>
        <v>0.19629789097492437</v>
      </c>
      <c r="Z37">
        <f t="shared" si="4"/>
        <v>0</v>
      </c>
      <c r="AA37">
        <f t="shared" si="5"/>
        <v>5</v>
      </c>
      <c r="AB37">
        <f t="shared" si="6"/>
        <v>2024</v>
      </c>
      <c r="AC37" t="str">
        <f t="shared" si="7"/>
        <v>Unique</v>
      </c>
      <c r="AD37" t="str">
        <f t="shared" si="8"/>
        <v>Clean</v>
      </c>
    </row>
    <row r="38" spans="1:30" x14ac:dyDescent="0.3">
      <c r="A38" t="s">
        <v>218</v>
      </c>
      <c r="B38" s="2">
        <v>45590</v>
      </c>
      <c r="C38" s="2">
        <v>45593</v>
      </c>
      <c r="D38" t="s">
        <v>219</v>
      </c>
      <c r="E38" t="s">
        <v>150</v>
      </c>
      <c r="F38" t="s">
        <v>99</v>
      </c>
      <c r="G38" t="s">
        <v>72</v>
      </c>
      <c r="H38" t="s">
        <v>73</v>
      </c>
      <c r="I38" t="s">
        <v>74</v>
      </c>
      <c r="J38" t="s">
        <v>50</v>
      </c>
      <c r="K38" t="s">
        <v>167</v>
      </c>
      <c r="L38" t="s">
        <v>220</v>
      </c>
      <c r="M38" t="s">
        <v>40</v>
      </c>
      <c r="N38">
        <v>3</v>
      </c>
      <c r="O38">
        <v>3126.47</v>
      </c>
      <c r="P38" s="3">
        <v>0</v>
      </c>
      <c r="Q38">
        <v>9379.41</v>
      </c>
      <c r="R38">
        <v>6670.85</v>
      </c>
      <c r="S38">
        <v>2708.56</v>
      </c>
      <c r="T38" t="s">
        <v>41</v>
      </c>
      <c r="U38" t="s">
        <v>112</v>
      </c>
      <c r="V38" s="3">
        <f t="shared" si="0"/>
        <v>0</v>
      </c>
      <c r="W38">
        <f t="shared" si="1"/>
        <v>9379.41</v>
      </c>
      <c r="X38">
        <f t="shared" si="2"/>
        <v>2708.5599999999995</v>
      </c>
      <c r="Y38" s="4">
        <f t="shared" si="3"/>
        <v>0.28877722585962223</v>
      </c>
      <c r="Z38">
        <f t="shared" si="4"/>
        <v>3</v>
      </c>
      <c r="AA38">
        <f t="shared" si="5"/>
        <v>10</v>
      </c>
      <c r="AB38">
        <f t="shared" si="6"/>
        <v>2024</v>
      </c>
      <c r="AC38" t="str">
        <f t="shared" si="7"/>
        <v>Unique</v>
      </c>
      <c r="AD38" t="str">
        <f t="shared" si="8"/>
        <v>Clean</v>
      </c>
    </row>
    <row r="39" spans="1:30" x14ac:dyDescent="0.3">
      <c r="A39" t="s">
        <v>221</v>
      </c>
      <c r="B39" s="2">
        <v>45867</v>
      </c>
      <c r="C39" s="2">
        <v>45867</v>
      </c>
      <c r="D39" t="s">
        <v>222</v>
      </c>
      <c r="E39" t="s">
        <v>171</v>
      </c>
      <c r="F39" t="s">
        <v>33</v>
      </c>
      <c r="G39" t="s">
        <v>72</v>
      </c>
      <c r="H39" t="s">
        <v>73</v>
      </c>
      <c r="I39" t="s">
        <v>74</v>
      </c>
      <c r="J39" t="s">
        <v>83</v>
      </c>
      <c r="K39" t="s">
        <v>89</v>
      </c>
      <c r="L39" t="s">
        <v>223</v>
      </c>
      <c r="M39" t="s">
        <v>68</v>
      </c>
      <c r="N39">
        <v>4</v>
      </c>
      <c r="O39">
        <v>1327.54</v>
      </c>
      <c r="P39" s="3">
        <v>0.2</v>
      </c>
      <c r="Q39">
        <v>4248.13</v>
      </c>
      <c r="R39">
        <v>3321.09</v>
      </c>
      <c r="S39">
        <v>927.04</v>
      </c>
      <c r="T39" t="s">
        <v>41</v>
      </c>
      <c r="U39" t="s">
        <v>42</v>
      </c>
      <c r="V39" s="3">
        <f t="shared" si="0"/>
        <v>0.2</v>
      </c>
      <c r="W39">
        <f t="shared" si="1"/>
        <v>4248.1279999999997</v>
      </c>
      <c r="X39">
        <f t="shared" si="2"/>
        <v>927.03799999999956</v>
      </c>
      <c r="Y39" s="4">
        <f t="shared" si="3"/>
        <v>0.21822270892025844</v>
      </c>
      <c r="Z39">
        <f t="shared" si="4"/>
        <v>0</v>
      </c>
      <c r="AA39">
        <f t="shared" si="5"/>
        <v>7</v>
      </c>
      <c r="AB39">
        <f t="shared" si="6"/>
        <v>2025</v>
      </c>
      <c r="AC39" t="str">
        <f t="shared" si="7"/>
        <v>Unique</v>
      </c>
      <c r="AD39" t="str">
        <f t="shared" si="8"/>
        <v>Clean</v>
      </c>
    </row>
    <row r="40" spans="1:30" x14ac:dyDescent="0.3">
      <c r="A40" t="s">
        <v>224</v>
      </c>
      <c r="B40" s="2">
        <v>45460</v>
      </c>
      <c r="C40" s="2">
        <v>45465</v>
      </c>
      <c r="D40" t="s">
        <v>225</v>
      </c>
      <c r="E40" t="s">
        <v>137</v>
      </c>
      <c r="F40" t="s">
        <v>99</v>
      </c>
      <c r="G40" t="s">
        <v>72</v>
      </c>
      <c r="H40" t="s">
        <v>189</v>
      </c>
      <c r="I40" t="s">
        <v>190</v>
      </c>
      <c r="J40" t="s">
        <v>83</v>
      </c>
      <c r="K40" t="s">
        <v>180</v>
      </c>
      <c r="L40" t="s">
        <v>226</v>
      </c>
      <c r="M40" t="s">
        <v>59</v>
      </c>
      <c r="N40">
        <v>7</v>
      </c>
      <c r="O40">
        <v>2210.6799999999998</v>
      </c>
      <c r="P40" s="3">
        <v>0.1</v>
      </c>
      <c r="Q40">
        <v>13927.28</v>
      </c>
      <c r="R40">
        <v>10504.87</v>
      </c>
      <c r="S40">
        <v>3422.41</v>
      </c>
      <c r="T40" t="s">
        <v>41</v>
      </c>
      <c r="U40" t="s">
        <v>42</v>
      </c>
      <c r="V40" s="3">
        <f t="shared" si="0"/>
        <v>0.1</v>
      </c>
      <c r="W40">
        <f t="shared" si="1"/>
        <v>13927.284</v>
      </c>
      <c r="X40">
        <f t="shared" si="2"/>
        <v>3422.4139999999989</v>
      </c>
      <c r="Y40" s="4">
        <f t="shared" si="3"/>
        <v>0.24573448778670692</v>
      </c>
      <c r="Z40">
        <f t="shared" si="4"/>
        <v>5</v>
      </c>
      <c r="AA40">
        <f t="shared" si="5"/>
        <v>6</v>
      </c>
      <c r="AB40">
        <f t="shared" si="6"/>
        <v>2024</v>
      </c>
      <c r="AC40" t="str">
        <f t="shared" si="7"/>
        <v>Unique</v>
      </c>
      <c r="AD40" t="str">
        <f t="shared" si="8"/>
        <v>Clean</v>
      </c>
    </row>
    <row r="41" spans="1:30" x14ac:dyDescent="0.3">
      <c r="A41" t="s">
        <v>227</v>
      </c>
      <c r="B41" s="2">
        <v>45637</v>
      </c>
      <c r="C41" s="2">
        <v>45637</v>
      </c>
      <c r="D41" t="s">
        <v>228</v>
      </c>
      <c r="E41" t="s">
        <v>45</v>
      </c>
      <c r="F41" t="s">
        <v>46</v>
      </c>
      <c r="G41" t="s">
        <v>72</v>
      </c>
      <c r="H41" t="s">
        <v>81</v>
      </c>
      <c r="I41" t="s">
        <v>82</v>
      </c>
      <c r="J41" t="s">
        <v>83</v>
      </c>
      <c r="K41" t="s">
        <v>89</v>
      </c>
      <c r="L41" t="s">
        <v>229</v>
      </c>
      <c r="M41" t="s">
        <v>59</v>
      </c>
      <c r="N41">
        <v>4</v>
      </c>
      <c r="O41">
        <v>1370.92</v>
      </c>
      <c r="P41" s="3">
        <v>0.1</v>
      </c>
      <c r="Q41">
        <v>4935.3100000000004</v>
      </c>
      <c r="R41">
        <v>3374.77</v>
      </c>
      <c r="S41">
        <v>1560.54</v>
      </c>
      <c r="T41" t="s">
        <v>120</v>
      </c>
      <c r="U41" t="s">
        <v>112</v>
      </c>
      <c r="V41" s="3">
        <f t="shared" si="0"/>
        <v>0.1</v>
      </c>
      <c r="W41">
        <f t="shared" si="1"/>
        <v>4935.3120000000008</v>
      </c>
      <c r="X41">
        <f t="shared" si="2"/>
        <v>1560.5420000000008</v>
      </c>
      <c r="Y41" s="4">
        <f t="shared" si="3"/>
        <v>0.31619925954022776</v>
      </c>
      <c r="Z41">
        <f t="shared" si="4"/>
        <v>0</v>
      </c>
      <c r="AA41">
        <f t="shared" si="5"/>
        <v>12</v>
      </c>
      <c r="AB41">
        <f t="shared" si="6"/>
        <v>2024</v>
      </c>
      <c r="AC41" t="str">
        <f t="shared" si="7"/>
        <v>Unique</v>
      </c>
      <c r="AD41" t="str">
        <f t="shared" si="8"/>
        <v>Clean</v>
      </c>
    </row>
    <row r="42" spans="1:30" x14ac:dyDescent="0.3">
      <c r="A42" t="s">
        <v>230</v>
      </c>
      <c r="B42" s="2">
        <v>45575</v>
      </c>
      <c r="C42" s="2">
        <v>45581</v>
      </c>
      <c r="D42" t="s">
        <v>231</v>
      </c>
      <c r="E42" t="s">
        <v>56</v>
      </c>
      <c r="F42" t="s">
        <v>104</v>
      </c>
      <c r="G42" t="s">
        <v>72</v>
      </c>
      <c r="H42" t="s">
        <v>35</v>
      </c>
      <c r="I42" t="s">
        <v>118</v>
      </c>
      <c r="J42" t="s">
        <v>83</v>
      </c>
      <c r="K42" t="s">
        <v>89</v>
      </c>
      <c r="L42" t="s">
        <v>232</v>
      </c>
      <c r="M42" t="s">
        <v>68</v>
      </c>
      <c r="N42">
        <v>7</v>
      </c>
      <c r="O42">
        <v>2509.27</v>
      </c>
      <c r="P42" s="3">
        <v>0.2</v>
      </c>
      <c r="Q42">
        <v>14051.91</v>
      </c>
      <c r="R42">
        <v>11990.37</v>
      </c>
      <c r="S42">
        <v>2061.54</v>
      </c>
      <c r="T42" t="s">
        <v>41</v>
      </c>
      <c r="U42" t="s">
        <v>42</v>
      </c>
      <c r="V42" s="3">
        <f t="shared" si="0"/>
        <v>0.2</v>
      </c>
      <c r="W42">
        <f t="shared" si="1"/>
        <v>14051.912</v>
      </c>
      <c r="X42">
        <f t="shared" si="2"/>
        <v>2061.5419999999995</v>
      </c>
      <c r="Y42" s="4">
        <f t="shared" si="3"/>
        <v>0.14670900301681361</v>
      </c>
      <c r="Z42">
        <f t="shared" si="4"/>
        <v>6</v>
      </c>
      <c r="AA42">
        <f t="shared" si="5"/>
        <v>10</v>
      </c>
      <c r="AB42">
        <f t="shared" si="6"/>
        <v>2024</v>
      </c>
      <c r="AC42" t="str">
        <f t="shared" si="7"/>
        <v>Unique</v>
      </c>
      <c r="AD42" t="str">
        <f t="shared" si="8"/>
        <v>Clean</v>
      </c>
    </row>
    <row r="43" spans="1:30" x14ac:dyDescent="0.3">
      <c r="A43" t="s">
        <v>233</v>
      </c>
      <c r="B43" s="2">
        <v>45363</v>
      </c>
      <c r="C43" s="2">
        <v>45368</v>
      </c>
      <c r="D43" t="s">
        <v>234</v>
      </c>
      <c r="E43" t="s">
        <v>137</v>
      </c>
      <c r="F43" t="s">
        <v>46</v>
      </c>
      <c r="G43" t="s">
        <v>47</v>
      </c>
      <c r="H43" t="s">
        <v>48</v>
      </c>
      <c r="I43" t="s">
        <v>49</v>
      </c>
      <c r="J43" t="s">
        <v>50</v>
      </c>
      <c r="K43" t="s">
        <v>167</v>
      </c>
      <c r="L43" t="s">
        <v>235</v>
      </c>
      <c r="M43" t="s">
        <v>53</v>
      </c>
      <c r="N43">
        <v>8</v>
      </c>
      <c r="O43">
        <v>855.81</v>
      </c>
      <c r="P43" s="3">
        <v>0</v>
      </c>
      <c r="Q43">
        <v>6846.48</v>
      </c>
      <c r="R43">
        <v>4239.8900000000003</v>
      </c>
      <c r="S43">
        <v>2606.59</v>
      </c>
      <c r="T43" t="s">
        <v>120</v>
      </c>
      <c r="U43" t="s">
        <v>77</v>
      </c>
      <c r="V43" s="3">
        <f t="shared" si="0"/>
        <v>0</v>
      </c>
      <c r="W43">
        <f t="shared" si="1"/>
        <v>6846.48</v>
      </c>
      <c r="X43">
        <f t="shared" si="2"/>
        <v>2606.5899999999992</v>
      </c>
      <c r="Y43" s="4">
        <f t="shared" si="3"/>
        <v>0.38071972750961069</v>
      </c>
      <c r="Z43">
        <f t="shared" si="4"/>
        <v>5</v>
      </c>
      <c r="AA43">
        <f t="shared" si="5"/>
        <v>3</v>
      </c>
      <c r="AB43">
        <f t="shared" si="6"/>
        <v>2024</v>
      </c>
      <c r="AC43" t="str">
        <f t="shared" si="7"/>
        <v>Unique</v>
      </c>
      <c r="AD43" t="str">
        <f t="shared" si="8"/>
        <v>Warning</v>
      </c>
    </row>
    <row r="44" spans="1:30" x14ac:dyDescent="0.3">
      <c r="A44" t="s">
        <v>236</v>
      </c>
      <c r="B44" s="2">
        <v>45940</v>
      </c>
      <c r="C44" s="2">
        <v>45945</v>
      </c>
      <c r="D44" t="s">
        <v>237</v>
      </c>
      <c r="E44" t="s">
        <v>62</v>
      </c>
      <c r="F44" t="s">
        <v>99</v>
      </c>
      <c r="G44" t="s">
        <v>47</v>
      </c>
      <c r="H44" t="s">
        <v>238</v>
      </c>
      <c r="I44" t="s">
        <v>239</v>
      </c>
      <c r="J44" t="s">
        <v>83</v>
      </c>
      <c r="K44" t="s">
        <v>180</v>
      </c>
      <c r="L44" t="s">
        <v>240</v>
      </c>
      <c r="M44" t="s">
        <v>68</v>
      </c>
      <c r="N44">
        <v>8</v>
      </c>
      <c r="O44">
        <v>979.87</v>
      </c>
      <c r="P44" s="3">
        <v>0.05</v>
      </c>
      <c r="Q44">
        <v>7447.01</v>
      </c>
      <c r="R44">
        <v>4496.22</v>
      </c>
      <c r="S44">
        <v>2950.79</v>
      </c>
      <c r="T44" t="s">
        <v>41</v>
      </c>
      <c r="U44" t="s">
        <v>42</v>
      </c>
      <c r="V44" s="3">
        <f t="shared" si="0"/>
        <v>0.05</v>
      </c>
      <c r="W44">
        <f t="shared" si="1"/>
        <v>7447.0119999999997</v>
      </c>
      <c r="X44">
        <f t="shared" si="2"/>
        <v>2950.7919999999995</v>
      </c>
      <c r="Y44" s="4">
        <f t="shared" si="3"/>
        <v>0.39623838393170302</v>
      </c>
      <c r="Z44">
        <f t="shared" si="4"/>
        <v>5</v>
      </c>
      <c r="AA44">
        <f t="shared" si="5"/>
        <v>10</v>
      </c>
      <c r="AB44">
        <f t="shared" si="6"/>
        <v>2025</v>
      </c>
      <c r="AC44" t="str">
        <f t="shared" si="7"/>
        <v>Unique</v>
      </c>
      <c r="AD44" t="str">
        <f t="shared" si="8"/>
        <v>Clean</v>
      </c>
    </row>
    <row r="45" spans="1:30" x14ac:dyDescent="0.3">
      <c r="A45" t="s">
        <v>241</v>
      </c>
      <c r="B45" s="2">
        <v>45481</v>
      </c>
      <c r="C45" s="2">
        <v>45487</v>
      </c>
      <c r="D45" t="s">
        <v>242</v>
      </c>
      <c r="E45" t="s">
        <v>123</v>
      </c>
      <c r="F45" t="s">
        <v>46</v>
      </c>
      <c r="G45" t="s">
        <v>47</v>
      </c>
      <c r="H45" t="s">
        <v>48</v>
      </c>
      <c r="I45" t="s">
        <v>49</v>
      </c>
      <c r="J45" t="s">
        <v>50</v>
      </c>
      <c r="K45" t="s">
        <v>66</v>
      </c>
      <c r="L45" t="s">
        <v>243</v>
      </c>
      <c r="M45" t="s">
        <v>53</v>
      </c>
      <c r="N45">
        <v>3</v>
      </c>
      <c r="O45">
        <v>1010.23</v>
      </c>
      <c r="P45" s="3">
        <v>0</v>
      </c>
      <c r="Q45">
        <v>3030.69</v>
      </c>
      <c r="R45">
        <v>1721.08</v>
      </c>
      <c r="S45">
        <v>1309.6099999999999</v>
      </c>
      <c r="T45" t="s">
        <v>41</v>
      </c>
      <c r="U45" t="s">
        <v>42</v>
      </c>
      <c r="V45" s="3">
        <f t="shared" si="0"/>
        <v>0</v>
      </c>
      <c r="W45">
        <f t="shared" si="1"/>
        <v>3030.69</v>
      </c>
      <c r="X45">
        <f t="shared" si="2"/>
        <v>1309.6100000000001</v>
      </c>
      <c r="Y45" s="4">
        <f t="shared" si="3"/>
        <v>0.43211611877163292</v>
      </c>
      <c r="Z45">
        <f t="shared" si="4"/>
        <v>6</v>
      </c>
      <c r="AA45">
        <f t="shared" si="5"/>
        <v>7</v>
      </c>
      <c r="AB45">
        <f t="shared" si="6"/>
        <v>2024</v>
      </c>
      <c r="AC45" t="str">
        <f t="shared" si="7"/>
        <v>Unique</v>
      </c>
      <c r="AD45" t="str">
        <f t="shared" si="8"/>
        <v>Clean</v>
      </c>
    </row>
    <row r="46" spans="1:30" x14ac:dyDescent="0.3">
      <c r="A46" t="s">
        <v>244</v>
      </c>
      <c r="B46" s="2">
        <v>45465</v>
      </c>
      <c r="C46" s="2">
        <v>45468</v>
      </c>
      <c r="D46" t="s">
        <v>245</v>
      </c>
      <c r="E46" t="s">
        <v>150</v>
      </c>
      <c r="F46" t="s">
        <v>46</v>
      </c>
      <c r="G46" t="s">
        <v>34</v>
      </c>
      <c r="H46" t="s">
        <v>246</v>
      </c>
      <c r="I46" t="s">
        <v>247</v>
      </c>
      <c r="J46" t="s">
        <v>50</v>
      </c>
      <c r="K46" t="s">
        <v>75</v>
      </c>
      <c r="L46" t="s">
        <v>248</v>
      </c>
      <c r="M46" t="s">
        <v>68</v>
      </c>
      <c r="N46">
        <v>9</v>
      </c>
      <c r="O46">
        <v>3329.77</v>
      </c>
      <c r="P46" s="3">
        <v>0.1</v>
      </c>
      <c r="Q46">
        <v>26971.14</v>
      </c>
      <c r="R46">
        <v>17376.2</v>
      </c>
      <c r="S46">
        <v>9594.94</v>
      </c>
      <c r="T46" t="s">
        <v>41</v>
      </c>
      <c r="U46" t="s">
        <v>42</v>
      </c>
      <c r="V46" s="3">
        <f t="shared" si="0"/>
        <v>0.1</v>
      </c>
      <c r="W46">
        <f t="shared" si="1"/>
        <v>26971.137000000002</v>
      </c>
      <c r="X46">
        <f t="shared" si="2"/>
        <v>9594.9370000000017</v>
      </c>
      <c r="Y46" s="4">
        <f t="shared" si="3"/>
        <v>0.35574833200394929</v>
      </c>
      <c r="Z46">
        <f t="shared" si="4"/>
        <v>3</v>
      </c>
      <c r="AA46">
        <f t="shared" si="5"/>
        <v>6</v>
      </c>
      <c r="AB46">
        <f t="shared" si="6"/>
        <v>2024</v>
      </c>
      <c r="AC46" t="str">
        <f t="shared" si="7"/>
        <v>Unique</v>
      </c>
      <c r="AD46" t="str">
        <f t="shared" si="8"/>
        <v>Clean</v>
      </c>
    </row>
    <row r="47" spans="1:30" x14ac:dyDescent="0.3">
      <c r="A47" t="s">
        <v>249</v>
      </c>
      <c r="B47" s="2">
        <v>45309</v>
      </c>
      <c r="C47" s="2">
        <v>45315</v>
      </c>
      <c r="D47" t="s">
        <v>250</v>
      </c>
      <c r="E47" t="s">
        <v>56</v>
      </c>
      <c r="F47" t="s">
        <v>104</v>
      </c>
      <c r="G47" t="s">
        <v>47</v>
      </c>
      <c r="H47" t="s">
        <v>154</v>
      </c>
      <c r="I47" t="s">
        <v>155</v>
      </c>
      <c r="J47" t="s">
        <v>37</v>
      </c>
      <c r="K47" t="s">
        <v>57</v>
      </c>
      <c r="L47" t="s">
        <v>251</v>
      </c>
      <c r="M47" t="s">
        <v>40</v>
      </c>
      <c r="N47">
        <v>8</v>
      </c>
      <c r="O47">
        <v>3927.82</v>
      </c>
      <c r="P47" s="3">
        <v>0.05</v>
      </c>
      <c r="Q47">
        <v>29851.43</v>
      </c>
      <c r="R47">
        <v>17487.48</v>
      </c>
      <c r="S47">
        <v>12363.95</v>
      </c>
      <c r="T47" t="s">
        <v>120</v>
      </c>
      <c r="U47" t="s">
        <v>112</v>
      </c>
      <c r="V47" s="3">
        <f t="shared" si="0"/>
        <v>0.05</v>
      </c>
      <c r="W47">
        <f t="shared" si="1"/>
        <v>29851.432000000001</v>
      </c>
      <c r="X47">
        <f t="shared" si="2"/>
        <v>12363.952000000001</v>
      </c>
      <c r="Y47" s="4">
        <f t="shared" si="3"/>
        <v>0.41418287739094062</v>
      </c>
      <c r="Z47">
        <f t="shared" si="4"/>
        <v>6</v>
      </c>
      <c r="AA47">
        <f t="shared" si="5"/>
        <v>1</v>
      </c>
      <c r="AB47">
        <f t="shared" si="6"/>
        <v>2024</v>
      </c>
      <c r="AC47" t="str">
        <f t="shared" si="7"/>
        <v>Unique</v>
      </c>
      <c r="AD47" t="str">
        <f t="shared" si="8"/>
        <v>Clean</v>
      </c>
    </row>
    <row r="48" spans="1:30" x14ac:dyDescent="0.3">
      <c r="A48" t="s">
        <v>252</v>
      </c>
      <c r="B48" s="2">
        <v>45492</v>
      </c>
      <c r="C48" s="2">
        <v>45492</v>
      </c>
      <c r="D48" t="s">
        <v>253</v>
      </c>
      <c r="E48" t="s">
        <v>71</v>
      </c>
      <c r="F48" t="s">
        <v>46</v>
      </c>
      <c r="G48" t="s">
        <v>63</v>
      </c>
      <c r="H48" t="s">
        <v>194</v>
      </c>
      <c r="I48" t="s">
        <v>195</v>
      </c>
      <c r="J48" t="s">
        <v>50</v>
      </c>
      <c r="K48" t="s">
        <v>167</v>
      </c>
      <c r="L48" t="s">
        <v>254</v>
      </c>
      <c r="M48" t="s">
        <v>68</v>
      </c>
      <c r="N48">
        <v>9</v>
      </c>
      <c r="O48">
        <v>2386.79</v>
      </c>
      <c r="P48" s="3">
        <v>0.25</v>
      </c>
      <c r="Q48">
        <v>16110.83</v>
      </c>
      <c r="R48">
        <v>10680.03</v>
      </c>
      <c r="S48">
        <v>5430.8</v>
      </c>
      <c r="T48" t="s">
        <v>111</v>
      </c>
      <c r="U48" t="s">
        <v>112</v>
      </c>
      <c r="V48" s="3">
        <f t="shared" si="0"/>
        <v>0.25</v>
      </c>
      <c r="W48">
        <f t="shared" si="1"/>
        <v>16110.8325</v>
      </c>
      <c r="X48">
        <f t="shared" si="2"/>
        <v>5430.8024999999998</v>
      </c>
      <c r="Y48" s="4">
        <f t="shared" si="3"/>
        <v>0.33709012243780695</v>
      </c>
      <c r="Z48">
        <f t="shared" si="4"/>
        <v>0</v>
      </c>
      <c r="AA48">
        <f t="shared" si="5"/>
        <v>7</v>
      </c>
      <c r="AB48">
        <f t="shared" si="6"/>
        <v>2024</v>
      </c>
      <c r="AC48" t="str">
        <f t="shared" si="7"/>
        <v>Unique</v>
      </c>
      <c r="AD48" t="str">
        <f t="shared" si="8"/>
        <v>Clean</v>
      </c>
    </row>
    <row r="49" spans="1:30" x14ac:dyDescent="0.3">
      <c r="A49" t="s">
        <v>255</v>
      </c>
      <c r="B49" s="2">
        <v>45516</v>
      </c>
      <c r="C49" s="2">
        <v>45516</v>
      </c>
      <c r="D49" t="s">
        <v>256</v>
      </c>
      <c r="E49" t="s">
        <v>127</v>
      </c>
      <c r="F49" t="s">
        <v>99</v>
      </c>
      <c r="G49" t="s">
        <v>63</v>
      </c>
      <c r="H49" t="s">
        <v>257</v>
      </c>
      <c r="I49" t="s">
        <v>258</v>
      </c>
      <c r="J49" t="s">
        <v>37</v>
      </c>
      <c r="K49" t="s">
        <v>133</v>
      </c>
      <c r="L49" t="s">
        <v>259</v>
      </c>
      <c r="M49" t="s">
        <v>68</v>
      </c>
      <c r="N49">
        <v>8</v>
      </c>
      <c r="O49">
        <v>2445.31</v>
      </c>
      <c r="P49" s="3">
        <v>0.1</v>
      </c>
      <c r="Q49">
        <v>17606.23</v>
      </c>
      <c r="R49">
        <v>12438.96</v>
      </c>
      <c r="S49">
        <v>5167.2700000000004</v>
      </c>
      <c r="T49" t="s">
        <v>41</v>
      </c>
      <c r="U49" t="s">
        <v>42</v>
      </c>
      <c r="V49" s="3">
        <f t="shared" si="0"/>
        <v>0.1</v>
      </c>
      <c r="W49">
        <f t="shared" si="1"/>
        <v>17606.232</v>
      </c>
      <c r="X49">
        <f t="shared" si="2"/>
        <v>5167.2720000000008</v>
      </c>
      <c r="Y49" s="4">
        <f t="shared" si="3"/>
        <v>0.29349107747756592</v>
      </c>
      <c r="Z49">
        <f t="shared" si="4"/>
        <v>0</v>
      </c>
      <c r="AA49">
        <f t="shared" si="5"/>
        <v>8</v>
      </c>
      <c r="AB49">
        <f t="shared" si="6"/>
        <v>2024</v>
      </c>
      <c r="AC49" t="str">
        <f t="shared" si="7"/>
        <v>Unique</v>
      </c>
      <c r="AD49" t="str">
        <f t="shared" si="8"/>
        <v>Clean</v>
      </c>
    </row>
    <row r="50" spans="1:30" x14ac:dyDescent="0.3">
      <c r="A50" t="s">
        <v>260</v>
      </c>
      <c r="B50" s="2">
        <v>45687</v>
      </c>
      <c r="C50" s="2">
        <v>45693</v>
      </c>
      <c r="D50" t="s">
        <v>261</v>
      </c>
      <c r="E50" t="s">
        <v>88</v>
      </c>
      <c r="F50" t="s">
        <v>99</v>
      </c>
      <c r="G50" t="s">
        <v>72</v>
      </c>
      <c r="H50" t="s">
        <v>73</v>
      </c>
      <c r="I50" t="s">
        <v>74</v>
      </c>
      <c r="J50" t="s">
        <v>50</v>
      </c>
      <c r="K50" t="s">
        <v>75</v>
      </c>
      <c r="L50" t="s">
        <v>262</v>
      </c>
      <c r="M50" t="s">
        <v>40</v>
      </c>
      <c r="N50">
        <v>7</v>
      </c>
      <c r="O50">
        <v>4063.66</v>
      </c>
      <c r="P50" s="3">
        <v>0</v>
      </c>
      <c r="Q50">
        <v>28445.62</v>
      </c>
      <c r="R50">
        <v>20938.59</v>
      </c>
      <c r="S50">
        <v>7507.03</v>
      </c>
      <c r="T50" t="s">
        <v>41</v>
      </c>
      <c r="U50" t="s">
        <v>42</v>
      </c>
      <c r="V50" s="3">
        <f t="shared" si="0"/>
        <v>0</v>
      </c>
      <c r="W50">
        <f t="shared" si="1"/>
        <v>28445.62</v>
      </c>
      <c r="X50">
        <f t="shared" si="2"/>
        <v>7507.0299999999988</v>
      </c>
      <c r="Y50" s="4">
        <f t="shared" si="3"/>
        <v>0.26390811660986818</v>
      </c>
      <c r="Z50">
        <f t="shared" si="4"/>
        <v>6</v>
      </c>
      <c r="AA50">
        <f t="shared" si="5"/>
        <v>1</v>
      </c>
      <c r="AB50">
        <f t="shared" si="6"/>
        <v>2025</v>
      </c>
      <c r="AC50" t="str">
        <f t="shared" si="7"/>
        <v>Unique</v>
      </c>
      <c r="AD50" t="str">
        <f t="shared" si="8"/>
        <v>Clean</v>
      </c>
    </row>
    <row r="51" spans="1:30" x14ac:dyDescent="0.3">
      <c r="A51" t="s">
        <v>263</v>
      </c>
      <c r="B51" s="2">
        <v>45388</v>
      </c>
      <c r="C51" s="2">
        <v>45395</v>
      </c>
      <c r="D51" t="s">
        <v>264</v>
      </c>
      <c r="E51" t="s">
        <v>137</v>
      </c>
      <c r="F51" t="s">
        <v>104</v>
      </c>
      <c r="G51" t="s">
        <v>34</v>
      </c>
      <c r="H51" t="s">
        <v>145</v>
      </c>
      <c r="I51" t="s">
        <v>146</v>
      </c>
      <c r="J51" t="s">
        <v>83</v>
      </c>
      <c r="K51" t="s">
        <v>89</v>
      </c>
      <c r="L51" t="s">
        <v>265</v>
      </c>
      <c r="M51" t="s">
        <v>40</v>
      </c>
      <c r="N51">
        <v>9</v>
      </c>
      <c r="O51">
        <v>792.11</v>
      </c>
      <c r="P51" s="3">
        <v>0.05</v>
      </c>
      <c r="Q51">
        <v>6772.54</v>
      </c>
      <c r="R51">
        <v>5755.46</v>
      </c>
      <c r="S51">
        <v>1017.08</v>
      </c>
      <c r="T51" t="s">
        <v>41</v>
      </c>
      <c r="U51" t="s">
        <v>42</v>
      </c>
      <c r="V51" s="3">
        <f t="shared" si="0"/>
        <v>0.05</v>
      </c>
      <c r="W51">
        <f t="shared" si="1"/>
        <v>6772.5404999999992</v>
      </c>
      <c r="X51">
        <f t="shared" si="2"/>
        <v>1017.0804999999991</v>
      </c>
      <c r="Y51" s="4">
        <f t="shared" si="3"/>
        <v>0.15017710119267641</v>
      </c>
      <c r="Z51">
        <f t="shared" si="4"/>
        <v>7</v>
      </c>
      <c r="AA51">
        <f t="shared" si="5"/>
        <v>4</v>
      </c>
      <c r="AB51">
        <f t="shared" si="6"/>
        <v>2024</v>
      </c>
      <c r="AC51" t="str">
        <f t="shared" si="7"/>
        <v>Unique</v>
      </c>
      <c r="AD51" t="str">
        <f t="shared" si="8"/>
        <v>Clean</v>
      </c>
    </row>
    <row r="52" spans="1:30" x14ac:dyDescent="0.3">
      <c r="A52" t="s">
        <v>266</v>
      </c>
      <c r="B52" s="2">
        <v>45788</v>
      </c>
      <c r="C52" s="2">
        <v>45796</v>
      </c>
      <c r="D52" t="s">
        <v>267</v>
      </c>
      <c r="E52" t="s">
        <v>141</v>
      </c>
      <c r="F52" t="s">
        <v>33</v>
      </c>
      <c r="G52" t="s">
        <v>47</v>
      </c>
      <c r="H52" t="s">
        <v>108</v>
      </c>
      <c r="I52" t="s">
        <v>109</v>
      </c>
      <c r="J52" t="s">
        <v>83</v>
      </c>
      <c r="K52" t="s">
        <v>89</v>
      </c>
      <c r="L52" t="s">
        <v>268</v>
      </c>
      <c r="M52" t="s">
        <v>68</v>
      </c>
      <c r="N52">
        <v>1</v>
      </c>
      <c r="O52">
        <v>2382.8000000000002</v>
      </c>
      <c r="P52" s="3">
        <v>0.15</v>
      </c>
      <c r="Q52">
        <v>2025.38</v>
      </c>
      <c r="R52">
        <v>1140.6500000000001</v>
      </c>
      <c r="S52">
        <v>884.73</v>
      </c>
      <c r="T52" t="s">
        <v>41</v>
      </c>
      <c r="U52" t="s">
        <v>42</v>
      </c>
      <c r="V52" s="3">
        <f t="shared" si="0"/>
        <v>0.15</v>
      </c>
      <c r="W52">
        <f t="shared" si="1"/>
        <v>2025.38</v>
      </c>
      <c r="X52">
        <f t="shared" si="2"/>
        <v>884.73</v>
      </c>
      <c r="Y52" s="4">
        <f t="shared" si="3"/>
        <v>0.43682173221815163</v>
      </c>
      <c r="Z52">
        <f t="shared" si="4"/>
        <v>8</v>
      </c>
      <c r="AA52">
        <f t="shared" si="5"/>
        <v>5</v>
      </c>
      <c r="AB52">
        <f t="shared" si="6"/>
        <v>2025</v>
      </c>
      <c r="AC52" t="str">
        <f t="shared" si="7"/>
        <v>Unique</v>
      </c>
      <c r="AD52" t="str">
        <f t="shared" si="8"/>
        <v>Clean</v>
      </c>
    </row>
    <row r="53" spans="1:30" x14ac:dyDescent="0.3">
      <c r="A53" t="s">
        <v>269</v>
      </c>
      <c r="B53" s="2">
        <v>45406</v>
      </c>
      <c r="C53" s="2">
        <v>45411</v>
      </c>
      <c r="D53" t="s">
        <v>270</v>
      </c>
      <c r="E53" t="s">
        <v>71</v>
      </c>
      <c r="F53" t="s">
        <v>99</v>
      </c>
      <c r="G53" t="s">
        <v>63</v>
      </c>
      <c r="H53" t="s">
        <v>64</v>
      </c>
      <c r="I53" t="s">
        <v>65</v>
      </c>
      <c r="J53" t="s">
        <v>37</v>
      </c>
      <c r="K53" t="s">
        <v>57</v>
      </c>
      <c r="L53" t="s">
        <v>271</v>
      </c>
      <c r="M53" t="s">
        <v>68</v>
      </c>
      <c r="N53">
        <v>6</v>
      </c>
      <c r="O53">
        <v>1528.08</v>
      </c>
      <c r="P53" s="3">
        <v>0</v>
      </c>
      <c r="Q53">
        <v>9168.48</v>
      </c>
      <c r="R53">
        <v>7439.77</v>
      </c>
      <c r="S53">
        <v>1728.71</v>
      </c>
      <c r="T53" t="s">
        <v>41</v>
      </c>
      <c r="U53" t="s">
        <v>42</v>
      </c>
      <c r="V53" s="3">
        <f t="shared" si="0"/>
        <v>0</v>
      </c>
      <c r="W53">
        <f t="shared" si="1"/>
        <v>9168.48</v>
      </c>
      <c r="X53">
        <f t="shared" si="2"/>
        <v>1728.7099999999991</v>
      </c>
      <c r="Y53" s="4">
        <f t="shared" si="3"/>
        <v>0.18854924698532355</v>
      </c>
      <c r="Z53">
        <f t="shared" si="4"/>
        <v>5</v>
      </c>
      <c r="AA53">
        <f t="shared" si="5"/>
        <v>4</v>
      </c>
      <c r="AB53">
        <f t="shared" si="6"/>
        <v>2024</v>
      </c>
      <c r="AC53" t="str">
        <f t="shared" si="7"/>
        <v>Unique</v>
      </c>
      <c r="AD53" t="str">
        <f t="shared" si="8"/>
        <v>Clean</v>
      </c>
    </row>
    <row r="54" spans="1:30" x14ac:dyDescent="0.3">
      <c r="A54" t="s">
        <v>272</v>
      </c>
      <c r="B54" s="2">
        <v>45591</v>
      </c>
      <c r="C54" s="2">
        <v>45593</v>
      </c>
      <c r="D54" t="s">
        <v>273</v>
      </c>
      <c r="E54" t="s">
        <v>274</v>
      </c>
      <c r="F54" t="s">
        <v>46</v>
      </c>
      <c r="G54" t="s">
        <v>34</v>
      </c>
      <c r="H54" t="s">
        <v>35</v>
      </c>
      <c r="I54" t="s">
        <v>36</v>
      </c>
      <c r="J54" t="s">
        <v>50</v>
      </c>
      <c r="K54" t="s">
        <v>75</v>
      </c>
      <c r="L54" t="s">
        <v>275</v>
      </c>
      <c r="M54" t="s">
        <v>59</v>
      </c>
      <c r="N54">
        <v>9</v>
      </c>
      <c r="O54">
        <v>1399.63</v>
      </c>
      <c r="P54" s="3">
        <v>0</v>
      </c>
      <c r="Q54">
        <v>12596.67</v>
      </c>
      <c r="R54">
        <v>10603.29</v>
      </c>
      <c r="S54">
        <v>1993.38</v>
      </c>
      <c r="T54" t="s">
        <v>164</v>
      </c>
      <c r="U54" t="s">
        <v>77</v>
      </c>
      <c r="V54" s="3">
        <f t="shared" si="0"/>
        <v>0</v>
      </c>
      <c r="W54">
        <f t="shared" si="1"/>
        <v>12596.670000000002</v>
      </c>
      <c r="X54">
        <f t="shared" si="2"/>
        <v>1993.380000000001</v>
      </c>
      <c r="Y54" s="4">
        <f t="shared" si="3"/>
        <v>0.15824658421630483</v>
      </c>
      <c r="Z54">
        <f t="shared" si="4"/>
        <v>2</v>
      </c>
      <c r="AA54">
        <f t="shared" si="5"/>
        <v>10</v>
      </c>
      <c r="AB54">
        <f t="shared" si="6"/>
        <v>2024</v>
      </c>
      <c r="AC54" t="str">
        <f t="shared" si="7"/>
        <v>Unique</v>
      </c>
      <c r="AD54" t="str">
        <f t="shared" si="8"/>
        <v>Warning</v>
      </c>
    </row>
    <row r="55" spans="1:30" x14ac:dyDescent="0.3">
      <c r="A55" t="s">
        <v>276</v>
      </c>
      <c r="B55" s="2">
        <v>45747</v>
      </c>
      <c r="C55" s="2">
        <v>45747</v>
      </c>
      <c r="D55" t="s">
        <v>277</v>
      </c>
      <c r="E55" t="s">
        <v>274</v>
      </c>
      <c r="F55" t="s">
        <v>104</v>
      </c>
      <c r="G55" t="s">
        <v>72</v>
      </c>
      <c r="H55" t="s">
        <v>189</v>
      </c>
      <c r="I55" t="s">
        <v>190</v>
      </c>
      <c r="J55" t="s">
        <v>37</v>
      </c>
      <c r="K55" t="s">
        <v>133</v>
      </c>
      <c r="L55" t="s">
        <v>278</v>
      </c>
      <c r="M55" t="s">
        <v>59</v>
      </c>
      <c r="N55">
        <v>5</v>
      </c>
      <c r="O55">
        <v>1207.47</v>
      </c>
      <c r="P55" s="3">
        <v>0.15</v>
      </c>
      <c r="Q55">
        <v>5131.75</v>
      </c>
      <c r="R55">
        <v>2838.68</v>
      </c>
      <c r="S55">
        <v>2293.0700000000002</v>
      </c>
      <c r="T55" t="s">
        <v>41</v>
      </c>
      <c r="U55" t="s">
        <v>42</v>
      </c>
      <c r="V55" s="3">
        <f t="shared" si="0"/>
        <v>0.15</v>
      </c>
      <c r="W55">
        <f t="shared" si="1"/>
        <v>5131.7475000000004</v>
      </c>
      <c r="X55">
        <f t="shared" si="2"/>
        <v>2293.0675000000006</v>
      </c>
      <c r="Y55" s="4">
        <f t="shared" si="3"/>
        <v>0.44683950252813498</v>
      </c>
      <c r="Z55">
        <f t="shared" si="4"/>
        <v>0</v>
      </c>
      <c r="AA55">
        <f t="shared" si="5"/>
        <v>3</v>
      </c>
      <c r="AB55">
        <f t="shared" si="6"/>
        <v>2025</v>
      </c>
      <c r="AC55" t="str">
        <f t="shared" si="7"/>
        <v>Unique</v>
      </c>
      <c r="AD55" t="str">
        <f t="shared" si="8"/>
        <v>Clean</v>
      </c>
    </row>
    <row r="56" spans="1:30" x14ac:dyDescent="0.3">
      <c r="A56" t="s">
        <v>279</v>
      </c>
      <c r="B56" s="2">
        <v>45807</v>
      </c>
      <c r="C56" s="2">
        <v>45810</v>
      </c>
      <c r="D56" t="s">
        <v>280</v>
      </c>
      <c r="E56" t="s">
        <v>62</v>
      </c>
      <c r="F56" t="s">
        <v>99</v>
      </c>
      <c r="G56" t="s">
        <v>63</v>
      </c>
      <c r="H56" t="s">
        <v>257</v>
      </c>
      <c r="I56" t="s">
        <v>258</v>
      </c>
      <c r="J56" t="s">
        <v>37</v>
      </c>
      <c r="K56" t="s">
        <v>100</v>
      </c>
      <c r="L56" t="s">
        <v>281</v>
      </c>
      <c r="M56" t="s">
        <v>53</v>
      </c>
      <c r="N56">
        <v>8</v>
      </c>
      <c r="O56">
        <v>474.37</v>
      </c>
      <c r="P56" s="3">
        <v>0.1</v>
      </c>
      <c r="Q56">
        <v>3415.46</v>
      </c>
      <c r="R56">
        <v>1993.23</v>
      </c>
      <c r="S56">
        <v>1422.23</v>
      </c>
      <c r="T56" t="s">
        <v>164</v>
      </c>
      <c r="U56" t="s">
        <v>77</v>
      </c>
      <c r="V56" s="3">
        <f t="shared" si="0"/>
        <v>0.1</v>
      </c>
      <c r="W56">
        <f t="shared" si="1"/>
        <v>3415.4639999999999</v>
      </c>
      <c r="X56">
        <f t="shared" si="2"/>
        <v>1422.2339999999999</v>
      </c>
      <c r="Y56" s="4">
        <f t="shared" si="3"/>
        <v>0.4164101861416194</v>
      </c>
      <c r="Z56">
        <f t="shared" si="4"/>
        <v>3</v>
      </c>
      <c r="AA56">
        <f t="shared" si="5"/>
        <v>5</v>
      </c>
      <c r="AB56">
        <f t="shared" si="6"/>
        <v>2025</v>
      </c>
      <c r="AC56" t="str">
        <f t="shared" si="7"/>
        <v>Unique</v>
      </c>
      <c r="AD56" t="str">
        <f t="shared" si="8"/>
        <v>Warning</v>
      </c>
    </row>
    <row r="57" spans="1:30" x14ac:dyDescent="0.3">
      <c r="A57" t="s">
        <v>282</v>
      </c>
      <c r="B57" s="2">
        <v>45839</v>
      </c>
      <c r="C57" s="2">
        <v>45841</v>
      </c>
      <c r="D57" t="s">
        <v>283</v>
      </c>
      <c r="E57" t="s">
        <v>45</v>
      </c>
      <c r="F57" t="s">
        <v>46</v>
      </c>
      <c r="G57" t="s">
        <v>63</v>
      </c>
      <c r="H57" t="s">
        <v>93</v>
      </c>
      <c r="I57" t="s">
        <v>94</v>
      </c>
      <c r="J57" t="s">
        <v>83</v>
      </c>
      <c r="K57" t="s">
        <v>284</v>
      </c>
      <c r="L57" t="s">
        <v>285</v>
      </c>
      <c r="M57" t="s">
        <v>53</v>
      </c>
      <c r="N57">
        <v>3</v>
      </c>
      <c r="O57">
        <v>1516.24</v>
      </c>
      <c r="P57" s="3">
        <v>0.25</v>
      </c>
      <c r="Q57">
        <v>3411.54</v>
      </c>
      <c r="R57">
        <v>2803.13</v>
      </c>
      <c r="S57">
        <v>608.41</v>
      </c>
      <c r="T57" t="s">
        <v>41</v>
      </c>
      <c r="U57" t="s">
        <v>42</v>
      </c>
      <c r="V57" s="3">
        <f t="shared" si="0"/>
        <v>0.25</v>
      </c>
      <c r="W57">
        <f t="shared" si="1"/>
        <v>3411.54</v>
      </c>
      <c r="X57">
        <f t="shared" si="2"/>
        <v>608.40999999999985</v>
      </c>
      <c r="Y57" s="4">
        <f t="shared" si="3"/>
        <v>0.17833881472883209</v>
      </c>
      <c r="Z57">
        <f t="shared" si="4"/>
        <v>2</v>
      </c>
      <c r="AA57">
        <f t="shared" si="5"/>
        <v>7</v>
      </c>
      <c r="AB57">
        <f t="shared" si="6"/>
        <v>2025</v>
      </c>
      <c r="AC57" t="str">
        <f t="shared" si="7"/>
        <v>Unique</v>
      </c>
      <c r="AD57" t="str">
        <f t="shared" si="8"/>
        <v>Clean</v>
      </c>
    </row>
    <row r="58" spans="1:30" x14ac:dyDescent="0.3">
      <c r="A58" t="s">
        <v>286</v>
      </c>
      <c r="B58" s="2">
        <v>45662</v>
      </c>
      <c r="C58" s="2">
        <v>45663</v>
      </c>
      <c r="D58" t="s">
        <v>287</v>
      </c>
      <c r="E58" t="s">
        <v>32</v>
      </c>
      <c r="F58" t="s">
        <v>33</v>
      </c>
      <c r="G58" t="s">
        <v>63</v>
      </c>
      <c r="H58" t="s">
        <v>184</v>
      </c>
      <c r="I58" t="s">
        <v>185</v>
      </c>
      <c r="J58" t="s">
        <v>37</v>
      </c>
      <c r="K58" t="s">
        <v>162</v>
      </c>
      <c r="L58" t="s">
        <v>288</v>
      </c>
      <c r="M58" t="s">
        <v>40</v>
      </c>
      <c r="N58">
        <v>3</v>
      </c>
      <c r="O58">
        <v>3155.61</v>
      </c>
      <c r="P58" s="3">
        <v>0</v>
      </c>
      <c r="Q58">
        <v>9466.83</v>
      </c>
      <c r="R58">
        <v>6557.83</v>
      </c>
      <c r="S58">
        <v>2909</v>
      </c>
      <c r="T58" t="s">
        <v>111</v>
      </c>
      <c r="U58" t="s">
        <v>77</v>
      </c>
      <c r="V58" s="3">
        <f t="shared" si="0"/>
        <v>0</v>
      </c>
      <c r="W58">
        <f t="shared" si="1"/>
        <v>9466.83</v>
      </c>
      <c r="X58">
        <f t="shared" si="2"/>
        <v>2909</v>
      </c>
      <c r="Y58" s="4">
        <f t="shared" si="3"/>
        <v>0.30728343067320318</v>
      </c>
      <c r="Z58">
        <f t="shared" si="4"/>
        <v>1</v>
      </c>
      <c r="AA58">
        <f t="shared" si="5"/>
        <v>1</v>
      </c>
      <c r="AB58">
        <f t="shared" si="6"/>
        <v>2025</v>
      </c>
      <c r="AC58" t="str">
        <f t="shared" si="7"/>
        <v>Unique</v>
      </c>
      <c r="AD58" t="str">
        <f t="shared" si="8"/>
        <v>Warning</v>
      </c>
    </row>
    <row r="59" spans="1:30" x14ac:dyDescent="0.3">
      <c r="A59" t="s">
        <v>289</v>
      </c>
      <c r="B59" s="2">
        <v>45329</v>
      </c>
      <c r="C59" s="2">
        <v>45337</v>
      </c>
      <c r="D59" t="s">
        <v>290</v>
      </c>
      <c r="E59" t="s">
        <v>123</v>
      </c>
      <c r="F59" t="s">
        <v>33</v>
      </c>
      <c r="G59" t="s">
        <v>72</v>
      </c>
      <c r="H59" t="s">
        <v>199</v>
      </c>
      <c r="I59" t="s">
        <v>200</v>
      </c>
      <c r="J59" t="s">
        <v>50</v>
      </c>
      <c r="K59" t="s">
        <v>75</v>
      </c>
      <c r="L59" t="s">
        <v>291</v>
      </c>
      <c r="M59" t="s">
        <v>53</v>
      </c>
      <c r="N59">
        <v>5</v>
      </c>
      <c r="O59">
        <v>255.87</v>
      </c>
      <c r="P59" s="3">
        <v>0</v>
      </c>
      <c r="Q59">
        <v>1279.3499999999999</v>
      </c>
      <c r="R59">
        <v>1091.54</v>
      </c>
      <c r="S59">
        <v>187.81</v>
      </c>
      <c r="T59" t="s">
        <v>41</v>
      </c>
      <c r="U59" t="s">
        <v>42</v>
      </c>
      <c r="V59" s="3">
        <f t="shared" si="0"/>
        <v>0</v>
      </c>
      <c r="W59">
        <f t="shared" si="1"/>
        <v>1279.3499999999999</v>
      </c>
      <c r="X59">
        <f t="shared" si="2"/>
        <v>187.80999999999995</v>
      </c>
      <c r="Y59" s="4">
        <f t="shared" si="3"/>
        <v>0.14680110993864068</v>
      </c>
      <c r="Z59">
        <f t="shared" si="4"/>
        <v>8</v>
      </c>
      <c r="AA59">
        <f t="shared" si="5"/>
        <v>2</v>
      </c>
      <c r="AB59">
        <f t="shared" si="6"/>
        <v>2024</v>
      </c>
      <c r="AC59" t="str">
        <f t="shared" si="7"/>
        <v>Unique</v>
      </c>
      <c r="AD59" t="str">
        <f t="shared" si="8"/>
        <v>Clean</v>
      </c>
    </row>
    <row r="60" spans="1:30" x14ac:dyDescent="0.3">
      <c r="A60" t="s">
        <v>292</v>
      </c>
      <c r="B60" s="2">
        <v>45536</v>
      </c>
      <c r="C60" s="2">
        <v>45542</v>
      </c>
      <c r="D60" t="s">
        <v>293</v>
      </c>
      <c r="E60" t="s">
        <v>56</v>
      </c>
      <c r="F60" t="s">
        <v>104</v>
      </c>
      <c r="G60" t="s">
        <v>34</v>
      </c>
      <c r="H60" t="s">
        <v>35</v>
      </c>
      <c r="I60" t="s">
        <v>36</v>
      </c>
      <c r="J60" t="s">
        <v>37</v>
      </c>
      <c r="K60" t="s">
        <v>133</v>
      </c>
      <c r="L60" t="s">
        <v>294</v>
      </c>
      <c r="M60" t="s">
        <v>214</v>
      </c>
      <c r="N60">
        <v>9</v>
      </c>
      <c r="O60">
        <v>1389.48</v>
      </c>
      <c r="P60" s="3">
        <v>0.1</v>
      </c>
      <c r="Q60">
        <v>11254.79</v>
      </c>
      <c r="R60">
        <v>6578.06</v>
      </c>
      <c r="S60">
        <v>4676.7299999999996</v>
      </c>
      <c r="T60" t="s">
        <v>120</v>
      </c>
      <c r="U60" t="s">
        <v>112</v>
      </c>
      <c r="V60" s="3">
        <f t="shared" si="0"/>
        <v>0.1</v>
      </c>
      <c r="W60">
        <f t="shared" si="1"/>
        <v>11254.788</v>
      </c>
      <c r="X60">
        <f t="shared" si="2"/>
        <v>4676.7280000000001</v>
      </c>
      <c r="Y60" s="4">
        <f t="shared" si="3"/>
        <v>0.41553230500654476</v>
      </c>
      <c r="Z60">
        <f t="shared" si="4"/>
        <v>6</v>
      </c>
      <c r="AA60">
        <f t="shared" si="5"/>
        <v>9</v>
      </c>
      <c r="AB60">
        <f t="shared" si="6"/>
        <v>2024</v>
      </c>
      <c r="AC60" t="str">
        <f t="shared" si="7"/>
        <v>Unique</v>
      </c>
      <c r="AD60" t="str">
        <f t="shared" si="8"/>
        <v>Warning</v>
      </c>
    </row>
    <row r="61" spans="1:30" x14ac:dyDescent="0.3">
      <c r="A61" t="s">
        <v>295</v>
      </c>
      <c r="B61" s="2">
        <v>45493</v>
      </c>
      <c r="C61" s="2">
        <v>45498</v>
      </c>
      <c r="D61" t="s">
        <v>296</v>
      </c>
      <c r="E61" t="s">
        <v>123</v>
      </c>
      <c r="F61" t="s">
        <v>99</v>
      </c>
      <c r="G61" t="s">
        <v>47</v>
      </c>
      <c r="H61" t="s">
        <v>175</v>
      </c>
      <c r="I61" t="s">
        <v>176</v>
      </c>
      <c r="J61" t="s">
        <v>37</v>
      </c>
      <c r="K61" t="s">
        <v>100</v>
      </c>
      <c r="L61" t="s">
        <v>297</v>
      </c>
      <c r="M61" t="s">
        <v>53</v>
      </c>
      <c r="N61">
        <v>5</v>
      </c>
      <c r="O61">
        <v>4133.8500000000004</v>
      </c>
      <c r="P61" s="3">
        <v>0.2</v>
      </c>
      <c r="Q61">
        <v>16535.400000000001</v>
      </c>
      <c r="R61">
        <v>12990.21</v>
      </c>
      <c r="S61">
        <v>3545.19</v>
      </c>
      <c r="T61" t="s">
        <v>41</v>
      </c>
      <c r="U61" t="s">
        <v>77</v>
      </c>
      <c r="V61" s="3">
        <f t="shared" si="0"/>
        <v>0.2</v>
      </c>
      <c r="W61">
        <f t="shared" si="1"/>
        <v>16535.400000000001</v>
      </c>
      <c r="X61">
        <f t="shared" si="2"/>
        <v>3545.1900000000023</v>
      </c>
      <c r="Y61" s="4">
        <f t="shared" si="3"/>
        <v>0.21440001451431487</v>
      </c>
      <c r="Z61">
        <f t="shared" si="4"/>
        <v>5</v>
      </c>
      <c r="AA61">
        <f t="shared" si="5"/>
        <v>7</v>
      </c>
      <c r="AB61">
        <f t="shared" si="6"/>
        <v>2024</v>
      </c>
      <c r="AC61" t="str">
        <f t="shared" si="7"/>
        <v>Unique</v>
      </c>
      <c r="AD61" t="str">
        <f t="shared" si="8"/>
        <v>Warning</v>
      </c>
    </row>
    <row r="62" spans="1:30" x14ac:dyDescent="0.3">
      <c r="A62" t="s">
        <v>298</v>
      </c>
      <c r="B62" s="2">
        <v>45486</v>
      </c>
      <c r="C62" s="2">
        <v>45492</v>
      </c>
      <c r="D62" t="s">
        <v>299</v>
      </c>
      <c r="E62" t="s">
        <v>71</v>
      </c>
      <c r="F62" t="s">
        <v>99</v>
      </c>
      <c r="G62" t="s">
        <v>47</v>
      </c>
      <c r="H62" t="s">
        <v>175</v>
      </c>
      <c r="I62" t="s">
        <v>176</v>
      </c>
      <c r="J62" t="s">
        <v>37</v>
      </c>
      <c r="K62" t="s">
        <v>100</v>
      </c>
      <c r="L62" t="s">
        <v>300</v>
      </c>
      <c r="M62" t="s">
        <v>53</v>
      </c>
      <c r="N62">
        <v>3</v>
      </c>
      <c r="O62">
        <v>275.76</v>
      </c>
      <c r="P62" s="3">
        <v>0.2</v>
      </c>
      <c r="Q62">
        <v>661.82</v>
      </c>
      <c r="R62">
        <v>481.47</v>
      </c>
      <c r="S62">
        <v>180.35</v>
      </c>
      <c r="T62" t="s">
        <v>111</v>
      </c>
      <c r="U62" t="s">
        <v>77</v>
      </c>
      <c r="V62" s="3">
        <f t="shared" si="0"/>
        <v>0.2</v>
      </c>
      <c r="W62">
        <f t="shared" si="1"/>
        <v>661.82400000000007</v>
      </c>
      <c r="X62">
        <f t="shared" si="2"/>
        <v>180.35400000000004</v>
      </c>
      <c r="Y62" s="4">
        <f t="shared" si="3"/>
        <v>0.27251051639106472</v>
      </c>
      <c r="Z62">
        <f t="shared" si="4"/>
        <v>6</v>
      </c>
      <c r="AA62">
        <f t="shared" si="5"/>
        <v>7</v>
      </c>
      <c r="AB62">
        <f t="shared" si="6"/>
        <v>2024</v>
      </c>
      <c r="AC62" t="str">
        <f t="shared" si="7"/>
        <v>Unique</v>
      </c>
      <c r="AD62" t="str">
        <f t="shared" si="8"/>
        <v>Warning</v>
      </c>
    </row>
    <row r="63" spans="1:30" x14ac:dyDescent="0.3">
      <c r="A63" t="s">
        <v>301</v>
      </c>
      <c r="B63" s="2">
        <v>45398</v>
      </c>
      <c r="C63" s="2">
        <v>45398</v>
      </c>
      <c r="D63" t="s">
        <v>302</v>
      </c>
      <c r="E63" t="s">
        <v>80</v>
      </c>
      <c r="F63" t="s">
        <v>104</v>
      </c>
      <c r="G63" t="s">
        <v>47</v>
      </c>
      <c r="H63" t="s">
        <v>154</v>
      </c>
      <c r="I63" t="s">
        <v>155</v>
      </c>
      <c r="J63" t="s">
        <v>50</v>
      </c>
      <c r="K63" t="s">
        <v>167</v>
      </c>
      <c r="L63" t="s">
        <v>303</v>
      </c>
      <c r="M63" t="s">
        <v>68</v>
      </c>
      <c r="N63">
        <v>1</v>
      </c>
      <c r="O63">
        <v>949.59</v>
      </c>
      <c r="P63" s="3">
        <v>0</v>
      </c>
      <c r="Q63">
        <v>949.59</v>
      </c>
      <c r="R63">
        <v>751.25</v>
      </c>
      <c r="S63">
        <v>198.34</v>
      </c>
      <c r="T63" t="s">
        <v>41</v>
      </c>
      <c r="U63" t="s">
        <v>42</v>
      </c>
      <c r="V63" s="3">
        <f t="shared" si="0"/>
        <v>0</v>
      </c>
      <c r="W63">
        <f t="shared" si="1"/>
        <v>949.59</v>
      </c>
      <c r="X63">
        <f t="shared" si="2"/>
        <v>198.34000000000003</v>
      </c>
      <c r="Y63" s="4">
        <f t="shared" si="3"/>
        <v>0.20886909087079689</v>
      </c>
      <c r="Z63">
        <f t="shared" si="4"/>
        <v>0</v>
      </c>
      <c r="AA63">
        <f t="shared" si="5"/>
        <v>4</v>
      </c>
      <c r="AB63">
        <f t="shared" si="6"/>
        <v>2024</v>
      </c>
      <c r="AC63" t="str">
        <f t="shared" si="7"/>
        <v>Unique</v>
      </c>
      <c r="AD63" t="str">
        <f t="shared" si="8"/>
        <v>Clean</v>
      </c>
    </row>
    <row r="64" spans="1:30" x14ac:dyDescent="0.3">
      <c r="A64" t="s">
        <v>304</v>
      </c>
      <c r="B64" s="2">
        <v>45595</v>
      </c>
      <c r="C64" s="2">
        <v>45598</v>
      </c>
      <c r="D64" t="s">
        <v>305</v>
      </c>
      <c r="E64" t="s">
        <v>141</v>
      </c>
      <c r="F64" t="s">
        <v>104</v>
      </c>
      <c r="G64" t="s">
        <v>34</v>
      </c>
      <c r="H64" t="s">
        <v>35</v>
      </c>
      <c r="I64" t="s">
        <v>36</v>
      </c>
      <c r="J64" t="s">
        <v>83</v>
      </c>
      <c r="K64" t="s">
        <v>180</v>
      </c>
      <c r="L64" t="s">
        <v>306</v>
      </c>
      <c r="M64" t="s">
        <v>68</v>
      </c>
      <c r="N64">
        <v>9</v>
      </c>
      <c r="O64">
        <v>3042.29</v>
      </c>
      <c r="P64" s="3">
        <v>0.2</v>
      </c>
      <c r="Q64">
        <v>21904.49</v>
      </c>
      <c r="R64">
        <v>13570.55</v>
      </c>
      <c r="S64">
        <v>8333.94</v>
      </c>
      <c r="T64" t="s">
        <v>41</v>
      </c>
      <c r="U64" t="s">
        <v>42</v>
      </c>
      <c r="V64" s="3">
        <f t="shared" si="0"/>
        <v>0.2</v>
      </c>
      <c r="W64">
        <f t="shared" si="1"/>
        <v>21904.488000000001</v>
      </c>
      <c r="X64">
        <f t="shared" si="2"/>
        <v>8333.9380000000019</v>
      </c>
      <c r="Y64" s="4">
        <f t="shared" si="3"/>
        <v>0.38046714445003244</v>
      </c>
      <c r="Z64">
        <f t="shared" si="4"/>
        <v>3</v>
      </c>
      <c r="AA64">
        <f t="shared" si="5"/>
        <v>10</v>
      </c>
      <c r="AB64">
        <f t="shared" si="6"/>
        <v>2024</v>
      </c>
      <c r="AC64" t="str">
        <f t="shared" si="7"/>
        <v>Unique</v>
      </c>
      <c r="AD64" t="str">
        <f t="shared" si="8"/>
        <v>Clean</v>
      </c>
    </row>
    <row r="65" spans="1:30" x14ac:dyDescent="0.3">
      <c r="A65" t="s">
        <v>307</v>
      </c>
      <c r="B65" s="2">
        <v>45316</v>
      </c>
      <c r="C65" s="2">
        <v>45323</v>
      </c>
      <c r="D65" t="s">
        <v>308</v>
      </c>
      <c r="E65" t="s">
        <v>141</v>
      </c>
      <c r="F65" t="s">
        <v>104</v>
      </c>
      <c r="G65" t="s">
        <v>34</v>
      </c>
      <c r="H65" t="s">
        <v>246</v>
      </c>
      <c r="I65" t="s">
        <v>247</v>
      </c>
      <c r="J65" t="s">
        <v>37</v>
      </c>
      <c r="K65" t="s">
        <v>162</v>
      </c>
      <c r="L65" t="s">
        <v>309</v>
      </c>
      <c r="M65" t="s">
        <v>53</v>
      </c>
      <c r="N65">
        <v>2</v>
      </c>
      <c r="O65">
        <v>2832.77</v>
      </c>
      <c r="P65" s="3">
        <v>0.15</v>
      </c>
      <c r="Q65">
        <v>4815.71</v>
      </c>
      <c r="R65">
        <v>3027.75</v>
      </c>
      <c r="S65">
        <v>1917.47</v>
      </c>
      <c r="T65" t="s">
        <v>41</v>
      </c>
      <c r="U65" t="s">
        <v>42</v>
      </c>
      <c r="V65" s="3">
        <f t="shared" si="0"/>
        <v>0.15</v>
      </c>
      <c r="W65">
        <f t="shared" si="1"/>
        <v>4815.7089999999998</v>
      </c>
      <c r="X65">
        <f t="shared" si="2"/>
        <v>1787.9589999999998</v>
      </c>
      <c r="Y65" s="4">
        <f t="shared" si="3"/>
        <v>0.37127637903369992</v>
      </c>
      <c r="Z65">
        <f t="shared" si="4"/>
        <v>7</v>
      </c>
      <c r="AA65">
        <f t="shared" si="5"/>
        <v>1</v>
      </c>
      <c r="AB65">
        <f t="shared" si="6"/>
        <v>2024</v>
      </c>
      <c r="AC65" t="str">
        <f t="shared" si="7"/>
        <v>Unique</v>
      </c>
      <c r="AD65" t="str">
        <f t="shared" si="8"/>
        <v>Clean</v>
      </c>
    </row>
    <row r="66" spans="1:30" x14ac:dyDescent="0.3">
      <c r="A66" t="s">
        <v>310</v>
      </c>
      <c r="B66" s="2">
        <v>45649</v>
      </c>
      <c r="C66" s="2">
        <v>45655</v>
      </c>
      <c r="D66" t="s">
        <v>311</v>
      </c>
      <c r="E66" t="s">
        <v>137</v>
      </c>
      <c r="F66" t="s">
        <v>99</v>
      </c>
      <c r="G66" t="s">
        <v>47</v>
      </c>
      <c r="H66" t="s">
        <v>238</v>
      </c>
      <c r="I66" t="s">
        <v>239</v>
      </c>
      <c r="J66" t="s">
        <v>37</v>
      </c>
      <c r="K66" t="s">
        <v>38</v>
      </c>
      <c r="L66" t="s">
        <v>312</v>
      </c>
      <c r="M66" t="s">
        <v>59</v>
      </c>
      <c r="N66">
        <v>7</v>
      </c>
      <c r="O66">
        <v>447.84</v>
      </c>
      <c r="P66" s="3">
        <v>0</v>
      </c>
      <c r="Q66">
        <v>3134.88</v>
      </c>
      <c r="R66">
        <v>2367.63</v>
      </c>
      <c r="S66">
        <v>767.25</v>
      </c>
      <c r="T66" t="s">
        <v>111</v>
      </c>
      <c r="U66" t="s">
        <v>112</v>
      </c>
      <c r="V66" s="3">
        <f t="shared" ref="V66:V129" si="9">IF(P66="",0,IF(ISNUMBER(P66),ABS(P66),IF(RIGHT(P66,1)="%",VALUE(LEFT(P66,LEN(P66)-1))/100,P66)))</f>
        <v>0</v>
      </c>
      <c r="W66">
        <f t="shared" ref="W66:W129" si="10">N66*O66*(1-V66)</f>
        <v>3134.8799999999997</v>
      </c>
      <c r="X66">
        <f t="shared" ref="X66:X129" si="11">W66-R66</f>
        <v>767.24999999999955</v>
      </c>
      <c r="Y66" s="4">
        <f t="shared" ref="Y66:Y129" si="12">IF(W66=0,0,X66/W66)</f>
        <v>0.24474621038125849</v>
      </c>
      <c r="Z66">
        <f t="shared" ref="Z66:Z129" si="13">C66-B66</f>
        <v>6</v>
      </c>
      <c r="AA66">
        <f t="shared" ref="AA66:AA129" si="14">MONTH(B66)</f>
        <v>12</v>
      </c>
      <c r="AB66">
        <f t="shared" ref="AB66:AB129" si="15">YEAR(B66)</f>
        <v>2024</v>
      </c>
      <c r="AC66" t="str">
        <f t="shared" ref="AC66:AC129" si="16">IF(COUNTIF($A$2:$A$913,A66)&gt;1,"Conflict - Review","Unique")</f>
        <v>Unique</v>
      </c>
      <c r="AD66" t="str">
        <f t="shared" ref="AD66:AD129" si="17">IF(OR(C66&lt;B66,AND(ISNUMBER(P66),P66&lt;0),V66&gt;0.65,AC66="Conflict - Review"),"Invalid",IF(OR(G66="Unknown",M66="Unknown",T66="Failed",U66="Cancelled"),"Warning","Clean"))</f>
        <v>Clean</v>
      </c>
    </row>
    <row r="67" spans="1:30" x14ac:dyDescent="0.3">
      <c r="A67" t="s">
        <v>313</v>
      </c>
      <c r="B67" s="2">
        <v>45404</v>
      </c>
      <c r="C67" s="2">
        <v>45409</v>
      </c>
      <c r="D67" t="s">
        <v>314</v>
      </c>
      <c r="E67" t="s">
        <v>45</v>
      </c>
      <c r="F67" t="s">
        <v>104</v>
      </c>
      <c r="G67" t="s">
        <v>72</v>
      </c>
      <c r="H67" t="s">
        <v>73</v>
      </c>
      <c r="I67" t="s">
        <v>74</v>
      </c>
      <c r="J67" t="s">
        <v>37</v>
      </c>
      <c r="K67" t="s">
        <v>38</v>
      </c>
      <c r="L67" t="s">
        <v>315</v>
      </c>
      <c r="M67" t="s">
        <v>40</v>
      </c>
      <c r="N67">
        <v>1</v>
      </c>
      <c r="O67">
        <v>4280.1899999999996</v>
      </c>
      <c r="P67" s="3">
        <v>0.05</v>
      </c>
      <c r="Q67">
        <v>4066.18</v>
      </c>
      <c r="R67">
        <v>2628.92</v>
      </c>
      <c r="S67">
        <v>1437.26</v>
      </c>
      <c r="T67" t="s">
        <v>41</v>
      </c>
      <c r="U67" t="s">
        <v>42</v>
      </c>
      <c r="V67" s="3">
        <f t="shared" si="9"/>
        <v>0.05</v>
      </c>
      <c r="W67">
        <f t="shared" si="10"/>
        <v>4066.1804999999995</v>
      </c>
      <c r="X67">
        <f t="shared" si="11"/>
        <v>1437.2604999999994</v>
      </c>
      <c r="Y67" s="4">
        <f t="shared" si="12"/>
        <v>0.35346696980126674</v>
      </c>
      <c r="Z67">
        <f t="shared" si="13"/>
        <v>5</v>
      </c>
      <c r="AA67">
        <f t="shared" si="14"/>
        <v>4</v>
      </c>
      <c r="AB67">
        <f t="shared" si="15"/>
        <v>2024</v>
      </c>
      <c r="AC67" t="str">
        <f t="shared" si="16"/>
        <v>Unique</v>
      </c>
      <c r="AD67" t="str">
        <f t="shared" si="17"/>
        <v>Clean</v>
      </c>
    </row>
    <row r="68" spans="1:30" x14ac:dyDescent="0.3">
      <c r="A68" t="s">
        <v>316</v>
      </c>
      <c r="B68" s="2">
        <v>45897</v>
      </c>
      <c r="C68" s="2">
        <v>45901</v>
      </c>
      <c r="D68" t="s">
        <v>317</v>
      </c>
      <c r="E68" t="s">
        <v>32</v>
      </c>
      <c r="F68" t="s">
        <v>46</v>
      </c>
      <c r="G68" t="s">
        <v>63</v>
      </c>
      <c r="H68" t="s">
        <v>257</v>
      </c>
      <c r="I68" t="s">
        <v>258</v>
      </c>
      <c r="J68" t="s">
        <v>83</v>
      </c>
      <c r="K68" t="s">
        <v>84</v>
      </c>
      <c r="L68" t="s">
        <v>318</v>
      </c>
      <c r="M68" t="s">
        <v>53</v>
      </c>
      <c r="N68">
        <v>7</v>
      </c>
      <c r="O68">
        <v>1057.46</v>
      </c>
      <c r="P68" s="3">
        <v>0.05</v>
      </c>
      <c r="Q68">
        <v>7032.11</v>
      </c>
      <c r="R68">
        <v>4610.34</v>
      </c>
      <c r="S68">
        <v>2421.77</v>
      </c>
      <c r="T68" t="s">
        <v>41</v>
      </c>
      <c r="U68" t="s">
        <v>42</v>
      </c>
      <c r="V68" s="3">
        <f t="shared" si="9"/>
        <v>0.05</v>
      </c>
      <c r="W68">
        <f t="shared" si="10"/>
        <v>7032.1089999999995</v>
      </c>
      <c r="X68">
        <f t="shared" si="11"/>
        <v>2421.7689999999993</v>
      </c>
      <c r="Y68" s="4">
        <f t="shared" si="12"/>
        <v>0.34438729547565311</v>
      </c>
      <c r="Z68">
        <f t="shared" si="13"/>
        <v>4</v>
      </c>
      <c r="AA68">
        <f t="shared" si="14"/>
        <v>8</v>
      </c>
      <c r="AB68">
        <f t="shared" si="15"/>
        <v>2025</v>
      </c>
      <c r="AC68" t="str">
        <f t="shared" si="16"/>
        <v>Unique</v>
      </c>
      <c r="AD68" t="str">
        <f t="shared" si="17"/>
        <v>Clean</v>
      </c>
    </row>
    <row r="69" spans="1:30" x14ac:dyDescent="0.3">
      <c r="A69" t="s">
        <v>319</v>
      </c>
      <c r="B69" s="2">
        <v>45691</v>
      </c>
      <c r="C69" s="2">
        <v>45695</v>
      </c>
      <c r="D69" t="s">
        <v>320</v>
      </c>
      <c r="E69" t="s">
        <v>274</v>
      </c>
      <c r="F69" t="s">
        <v>33</v>
      </c>
      <c r="G69" t="s">
        <v>34</v>
      </c>
      <c r="H69" t="s">
        <v>246</v>
      </c>
      <c r="I69" t="s">
        <v>247</v>
      </c>
      <c r="J69" t="s">
        <v>37</v>
      </c>
      <c r="K69" t="s">
        <v>38</v>
      </c>
      <c r="L69" t="s">
        <v>321</v>
      </c>
      <c r="M69" t="s">
        <v>59</v>
      </c>
      <c r="N69">
        <v>7</v>
      </c>
      <c r="O69">
        <v>3609.34</v>
      </c>
      <c r="P69" s="3">
        <v>0.05</v>
      </c>
      <c r="Q69">
        <v>24002.11</v>
      </c>
      <c r="R69">
        <v>18707.57</v>
      </c>
      <c r="S69">
        <v>5294.54</v>
      </c>
      <c r="T69" t="s">
        <v>41</v>
      </c>
      <c r="U69" t="s">
        <v>42</v>
      </c>
      <c r="V69" s="3">
        <f t="shared" si="9"/>
        <v>0.05</v>
      </c>
      <c r="W69">
        <f t="shared" si="10"/>
        <v>24002.111000000001</v>
      </c>
      <c r="X69">
        <f t="shared" si="11"/>
        <v>5294.5410000000011</v>
      </c>
      <c r="Y69" s="4">
        <f t="shared" si="12"/>
        <v>0.2205864725815159</v>
      </c>
      <c r="Z69">
        <f t="shared" si="13"/>
        <v>4</v>
      </c>
      <c r="AA69">
        <f t="shared" si="14"/>
        <v>2</v>
      </c>
      <c r="AB69">
        <f t="shared" si="15"/>
        <v>2025</v>
      </c>
      <c r="AC69" t="str">
        <f t="shared" si="16"/>
        <v>Unique</v>
      </c>
      <c r="AD69" t="str">
        <f t="shared" si="17"/>
        <v>Clean</v>
      </c>
    </row>
    <row r="70" spans="1:30" x14ac:dyDescent="0.3">
      <c r="A70" t="s">
        <v>322</v>
      </c>
      <c r="B70" s="2">
        <v>45606</v>
      </c>
      <c r="C70" s="2">
        <v>45609</v>
      </c>
      <c r="D70" t="s">
        <v>323</v>
      </c>
      <c r="E70" t="s">
        <v>56</v>
      </c>
      <c r="F70" t="s">
        <v>99</v>
      </c>
      <c r="G70" t="s">
        <v>47</v>
      </c>
      <c r="H70" t="s">
        <v>238</v>
      </c>
      <c r="I70" t="s">
        <v>239</v>
      </c>
      <c r="J70" t="s">
        <v>37</v>
      </c>
      <c r="K70" t="s">
        <v>133</v>
      </c>
      <c r="L70" t="s">
        <v>324</v>
      </c>
      <c r="M70" t="s">
        <v>40</v>
      </c>
      <c r="N70">
        <v>9</v>
      </c>
      <c r="O70">
        <v>2211.12</v>
      </c>
      <c r="P70" s="3">
        <v>0</v>
      </c>
      <c r="Q70">
        <v>19900.080000000002</v>
      </c>
      <c r="R70">
        <v>10962.66</v>
      </c>
      <c r="S70">
        <v>8937.42</v>
      </c>
      <c r="T70" t="s">
        <v>164</v>
      </c>
      <c r="U70" t="s">
        <v>112</v>
      </c>
      <c r="V70" s="3">
        <f t="shared" si="9"/>
        <v>0</v>
      </c>
      <c r="W70">
        <f t="shared" si="10"/>
        <v>19900.079999999998</v>
      </c>
      <c r="X70">
        <f t="shared" si="11"/>
        <v>8937.4199999999983</v>
      </c>
      <c r="Y70" s="4">
        <f t="shared" si="12"/>
        <v>0.44911477742803041</v>
      </c>
      <c r="Z70">
        <f t="shared" si="13"/>
        <v>3</v>
      </c>
      <c r="AA70">
        <f t="shared" si="14"/>
        <v>11</v>
      </c>
      <c r="AB70">
        <f t="shared" si="15"/>
        <v>2024</v>
      </c>
      <c r="AC70" t="str">
        <f t="shared" si="16"/>
        <v>Unique</v>
      </c>
      <c r="AD70" t="str">
        <f t="shared" si="17"/>
        <v>Warning</v>
      </c>
    </row>
    <row r="71" spans="1:30" x14ac:dyDescent="0.3">
      <c r="A71" t="s">
        <v>325</v>
      </c>
      <c r="B71" s="2">
        <v>45391</v>
      </c>
      <c r="C71" s="2">
        <v>45396</v>
      </c>
      <c r="D71" t="s">
        <v>326</v>
      </c>
      <c r="E71" t="s">
        <v>88</v>
      </c>
      <c r="F71" t="s">
        <v>46</v>
      </c>
      <c r="G71" t="s">
        <v>72</v>
      </c>
      <c r="H71" t="s">
        <v>189</v>
      </c>
      <c r="I71" t="s">
        <v>190</v>
      </c>
      <c r="J71" t="s">
        <v>83</v>
      </c>
      <c r="K71" t="s">
        <v>284</v>
      </c>
      <c r="L71" t="s">
        <v>327</v>
      </c>
      <c r="M71" t="s">
        <v>53</v>
      </c>
      <c r="N71">
        <v>7</v>
      </c>
      <c r="O71">
        <v>3417.09</v>
      </c>
      <c r="P71" s="3">
        <v>0.1</v>
      </c>
      <c r="Q71">
        <v>21527.67</v>
      </c>
      <c r="R71">
        <v>18287.580000000002</v>
      </c>
      <c r="S71">
        <v>3240.09</v>
      </c>
      <c r="T71" t="s">
        <v>111</v>
      </c>
      <c r="U71" t="s">
        <v>112</v>
      </c>
      <c r="V71" s="3">
        <f t="shared" si="9"/>
        <v>0.1</v>
      </c>
      <c r="W71">
        <f t="shared" si="10"/>
        <v>21527.667000000001</v>
      </c>
      <c r="X71">
        <f t="shared" si="11"/>
        <v>3240.0869999999995</v>
      </c>
      <c r="Y71" s="4">
        <f t="shared" si="12"/>
        <v>0.15050804158202555</v>
      </c>
      <c r="Z71">
        <f t="shared" si="13"/>
        <v>5</v>
      </c>
      <c r="AA71">
        <f t="shared" si="14"/>
        <v>4</v>
      </c>
      <c r="AB71">
        <f t="shared" si="15"/>
        <v>2024</v>
      </c>
      <c r="AC71" t="str">
        <f t="shared" si="16"/>
        <v>Unique</v>
      </c>
      <c r="AD71" t="str">
        <f t="shared" si="17"/>
        <v>Clean</v>
      </c>
    </row>
    <row r="72" spans="1:30" x14ac:dyDescent="0.3">
      <c r="A72" t="s">
        <v>328</v>
      </c>
      <c r="B72" s="2">
        <v>45891</v>
      </c>
      <c r="C72" s="2">
        <v>45896</v>
      </c>
      <c r="D72" t="s">
        <v>329</v>
      </c>
      <c r="E72" t="s">
        <v>32</v>
      </c>
      <c r="F72" t="s">
        <v>99</v>
      </c>
      <c r="G72" t="s">
        <v>63</v>
      </c>
      <c r="H72" t="s">
        <v>93</v>
      </c>
      <c r="I72" t="s">
        <v>94</v>
      </c>
      <c r="J72" t="s">
        <v>83</v>
      </c>
      <c r="K72" t="s">
        <v>180</v>
      </c>
      <c r="L72" t="s">
        <v>330</v>
      </c>
      <c r="M72" t="s">
        <v>59</v>
      </c>
      <c r="N72">
        <v>2</v>
      </c>
      <c r="O72">
        <v>905.87</v>
      </c>
      <c r="P72" s="3">
        <v>0.15</v>
      </c>
      <c r="Q72">
        <v>1539.98</v>
      </c>
      <c r="R72">
        <v>1070.2</v>
      </c>
      <c r="S72">
        <v>469.78</v>
      </c>
      <c r="T72" t="s">
        <v>41</v>
      </c>
      <c r="U72" t="s">
        <v>42</v>
      </c>
      <c r="V72" s="3">
        <f t="shared" si="9"/>
        <v>0.15</v>
      </c>
      <c r="W72">
        <f t="shared" si="10"/>
        <v>1539.979</v>
      </c>
      <c r="X72">
        <f t="shared" si="11"/>
        <v>469.779</v>
      </c>
      <c r="Y72" s="4">
        <f t="shared" si="12"/>
        <v>0.30505545854846072</v>
      </c>
      <c r="Z72">
        <f t="shared" si="13"/>
        <v>5</v>
      </c>
      <c r="AA72">
        <f t="shared" si="14"/>
        <v>8</v>
      </c>
      <c r="AB72">
        <f t="shared" si="15"/>
        <v>2025</v>
      </c>
      <c r="AC72" t="str">
        <f t="shared" si="16"/>
        <v>Unique</v>
      </c>
      <c r="AD72" t="str">
        <f t="shared" si="17"/>
        <v>Clean</v>
      </c>
    </row>
    <row r="73" spans="1:30" x14ac:dyDescent="0.3">
      <c r="A73" t="s">
        <v>331</v>
      </c>
      <c r="B73" s="2">
        <v>45763</v>
      </c>
      <c r="C73" s="2">
        <v>45770</v>
      </c>
      <c r="D73" t="s">
        <v>332</v>
      </c>
      <c r="E73" t="s">
        <v>45</v>
      </c>
      <c r="F73" t="s">
        <v>46</v>
      </c>
      <c r="G73" t="s">
        <v>72</v>
      </c>
      <c r="H73" t="s">
        <v>199</v>
      </c>
      <c r="I73" t="s">
        <v>200</v>
      </c>
      <c r="J73" t="s">
        <v>83</v>
      </c>
      <c r="K73" t="s">
        <v>284</v>
      </c>
      <c r="L73" t="s">
        <v>333</v>
      </c>
      <c r="M73" t="s">
        <v>68</v>
      </c>
      <c r="N73">
        <v>6</v>
      </c>
      <c r="O73">
        <v>2027.32</v>
      </c>
      <c r="P73" s="3">
        <v>0.1</v>
      </c>
      <c r="Q73">
        <v>10947.53</v>
      </c>
      <c r="R73">
        <v>6447.36</v>
      </c>
      <c r="S73">
        <v>4500.17</v>
      </c>
      <c r="T73" t="s">
        <v>41</v>
      </c>
      <c r="U73" t="s">
        <v>42</v>
      </c>
      <c r="V73" s="3">
        <f t="shared" si="9"/>
        <v>0.1</v>
      </c>
      <c r="W73">
        <f t="shared" si="10"/>
        <v>10947.528</v>
      </c>
      <c r="X73">
        <f t="shared" si="11"/>
        <v>4500.1680000000006</v>
      </c>
      <c r="Y73" s="4">
        <f t="shared" si="12"/>
        <v>0.41106704636882413</v>
      </c>
      <c r="Z73">
        <f t="shared" si="13"/>
        <v>7</v>
      </c>
      <c r="AA73">
        <f t="shared" si="14"/>
        <v>4</v>
      </c>
      <c r="AB73">
        <f t="shared" si="15"/>
        <v>2025</v>
      </c>
      <c r="AC73" t="str">
        <f t="shared" si="16"/>
        <v>Unique</v>
      </c>
      <c r="AD73" t="str">
        <f t="shared" si="17"/>
        <v>Clean</v>
      </c>
    </row>
    <row r="74" spans="1:30" x14ac:dyDescent="0.3">
      <c r="A74" t="s">
        <v>334</v>
      </c>
      <c r="B74" s="2">
        <v>45333</v>
      </c>
      <c r="C74" s="2">
        <v>45329</v>
      </c>
      <c r="D74" t="s">
        <v>335</v>
      </c>
      <c r="E74" t="s">
        <v>32</v>
      </c>
      <c r="F74" t="s">
        <v>104</v>
      </c>
      <c r="G74" t="s">
        <v>63</v>
      </c>
      <c r="H74" t="s">
        <v>257</v>
      </c>
      <c r="I74" t="s">
        <v>258</v>
      </c>
      <c r="J74" t="s">
        <v>50</v>
      </c>
      <c r="K74" t="s">
        <v>51</v>
      </c>
      <c r="L74" t="s">
        <v>336</v>
      </c>
      <c r="M74" t="s">
        <v>59</v>
      </c>
      <c r="N74">
        <v>7</v>
      </c>
      <c r="O74">
        <v>2287.4699999999998</v>
      </c>
      <c r="P74" s="3">
        <v>0.15</v>
      </c>
      <c r="Q74">
        <v>13610.45</v>
      </c>
      <c r="R74">
        <v>10039.049999999999</v>
      </c>
      <c r="S74">
        <v>3571.4</v>
      </c>
      <c r="T74" t="s">
        <v>41</v>
      </c>
      <c r="U74" t="s">
        <v>42</v>
      </c>
      <c r="V74" s="3">
        <f t="shared" si="9"/>
        <v>0.15</v>
      </c>
      <c r="W74">
        <f t="shared" si="10"/>
        <v>13610.446499999998</v>
      </c>
      <c r="X74">
        <f t="shared" si="11"/>
        <v>3571.3964999999989</v>
      </c>
      <c r="Y74" s="4">
        <f t="shared" si="12"/>
        <v>0.26240112695788487</v>
      </c>
      <c r="Z74">
        <f t="shared" si="13"/>
        <v>-4</v>
      </c>
      <c r="AA74">
        <f t="shared" si="14"/>
        <v>2</v>
      </c>
      <c r="AB74">
        <f t="shared" si="15"/>
        <v>2024</v>
      </c>
      <c r="AC74" t="str">
        <f t="shared" si="16"/>
        <v>Unique</v>
      </c>
      <c r="AD74" t="str">
        <f t="shared" si="17"/>
        <v>Invalid</v>
      </c>
    </row>
    <row r="75" spans="1:30" x14ac:dyDescent="0.3">
      <c r="A75" t="s">
        <v>337</v>
      </c>
      <c r="B75" s="2">
        <v>45745</v>
      </c>
      <c r="C75" s="2">
        <v>45750</v>
      </c>
      <c r="D75" t="s">
        <v>338</v>
      </c>
      <c r="E75" t="s">
        <v>141</v>
      </c>
      <c r="F75" t="s">
        <v>99</v>
      </c>
      <c r="G75" t="s">
        <v>47</v>
      </c>
      <c r="H75" t="s">
        <v>108</v>
      </c>
      <c r="I75" t="s">
        <v>109</v>
      </c>
      <c r="J75" t="s">
        <v>50</v>
      </c>
      <c r="K75" t="s">
        <v>167</v>
      </c>
      <c r="L75" t="s">
        <v>339</v>
      </c>
      <c r="M75" t="s">
        <v>59</v>
      </c>
      <c r="N75">
        <v>5</v>
      </c>
      <c r="O75">
        <v>1425.74</v>
      </c>
      <c r="P75" s="3">
        <v>0</v>
      </c>
      <c r="Q75">
        <v>7128.7</v>
      </c>
      <c r="R75">
        <v>4382.1499999999996</v>
      </c>
      <c r="S75">
        <v>2746.55</v>
      </c>
      <c r="T75" t="s">
        <v>41</v>
      </c>
      <c r="U75" t="s">
        <v>42</v>
      </c>
      <c r="V75" s="3">
        <f t="shared" si="9"/>
        <v>0</v>
      </c>
      <c r="W75">
        <f t="shared" si="10"/>
        <v>7128.7</v>
      </c>
      <c r="X75">
        <f t="shared" si="11"/>
        <v>2746.55</v>
      </c>
      <c r="Y75" s="4">
        <f t="shared" si="12"/>
        <v>0.38528062620113068</v>
      </c>
      <c r="Z75">
        <f t="shared" si="13"/>
        <v>5</v>
      </c>
      <c r="AA75">
        <f t="shared" si="14"/>
        <v>3</v>
      </c>
      <c r="AB75">
        <f t="shared" si="15"/>
        <v>2025</v>
      </c>
      <c r="AC75" t="str">
        <f t="shared" si="16"/>
        <v>Unique</v>
      </c>
      <c r="AD75" t="str">
        <f t="shared" si="17"/>
        <v>Clean</v>
      </c>
    </row>
    <row r="76" spans="1:30" x14ac:dyDescent="0.3">
      <c r="A76" t="s">
        <v>340</v>
      </c>
      <c r="B76" s="2">
        <v>45715</v>
      </c>
      <c r="C76" s="2">
        <v>45717</v>
      </c>
      <c r="D76" t="s">
        <v>341</v>
      </c>
      <c r="E76" t="s">
        <v>80</v>
      </c>
      <c r="F76" t="s">
        <v>46</v>
      </c>
      <c r="G76" t="s">
        <v>47</v>
      </c>
      <c r="H76" t="s">
        <v>108</v>
      </c>
      <c r="I76" t="s">
        <v>109</v>
      </c>
      <c r="J76" t="s">
        <v>50</v>
      </c>
      <c r="K76" t="s">
        <v>75</v>
      </c>
      <c r="L76" t="s">
        <v>342</v>
      </c>
      <c r="M76" t="s">
        <v>68</v>
      </c>
      <c r="N76">
        <v>6</v>
      </c>
      <c r="O76">
        <v>551.64</v>
      </c>
      <c r="P76" s="3">
        <v>0</v>
      </c>
      <c r="Q76">
        <v>3309.84</v>
      </c>
      <c r="R76">
        <v>2671.08</v>
      </c>
      <c r="S76">
        <v>638.76</v>
      </c>
      <c r="T76" t="s">
        <v>41</v>
      </c>
      <c r="U76" t="s">
        <v>42</v>
      </c>
      <c r="V76" s="3">
        <f t="shared" si="9"/>
        <v>0</v>
      </c>
      <c r="W76">
        <f t="shared" si="10"/>
        <v>3309.84</v>
      </c>
      <c r="X76">
        <f t="shared" si="11"/>
        <v>638.76000000000022</v>
      </c>
      <c r="Y76" s="4">
        <f t="shared" si="12"/>
        <v>0.19298818069755644</v>
      </c>
      <c r="Z76">
        <f t="shared" si="13"/>
        <v>2</v>
      </c>
      <c r="AA76">
        <f t="shared" si="14"/>
        <v>2</v>
      </c>
      <c r="AB76">
        <f t="shared" si="15"/>
        <v>2025</v>
      </c>
      <c r="AC76" t="str">
        <f t="shared" si="16"/>
        <v>Unique</v>
      </c>
      <c r="AD76" t="str">
        <f t="shared" si="17"/>
        <v>Clean</v>
      </c>
    </row>
    <row r="77" spans="1:30" x14ac:dyDescent="0.3">
      <c r="A77" t="s">
        <v>343</v>
      </c>
      <c r="B77" s="2">
        <v>45891</v>
      </c>
      <c r="C77" s="2">
        <v>45896</v>
      </c>
      <c r="D77" t="s">
        <v>344</v>
      </c>
      <c r="E77" t="s">
        <v>123</v>
      </c>
      <c r="F77" t="s">
        <v>46</v>
      </c>
      <c r="G77" t="s">
        <v>47</v>
      </c>
      <c r="H77" t="s">
        <v>48</v>
      </c>
      <c r="I77" t="s">
        <v>49</v>
      </c>
      <c r="J77" t="s">
        <v>37</v>
      </c>
      <c r="K77" t="s">
        <v>100</v>
      </c>
      <c r="L77" t="s">
        <v>345</v>
      </c>
      <c r="M77" t="s">
        <v>59</v>
      </c>
      <c r="N77">
        <v>3</v>
      </c>
      <c r="O77">
        <v>3294.82</v>
      </c>
      <c r="P77" s="3">
        <v>0.2</v>
      </c>
      <c r="Q77">
        <v>7907.57</v>
      </c>
      <c r="R77">
        <v>5391.18</v>
      </c>
      <c r="S77">
        <v>2516.39</v>
      </c>
      <c r="T77" t="s">
        <v>41</v>
      </c>
      <c r="U77" t="s">
        <v>42</v>
      </c>
      <c r="V77" s="3">
        <f t="shared" si="9"/>
        <v>0.2</v>
      </c>
      <c r="W77">
        <f t="shared" si="10"/>
        <v>7907.5680000000011</v>
      </c>
      <c r="X77">
        <f t="shared" si="11"/>
        <v>2516.3880000000008</v>
      </c>
      <c r="Y77" s="4">
        <f t="shared" si="12"/>
        <v>0.31822527482533197</v>
      </c>
      <c r="Z77">
        <f t="shared" si="13"/>
        <v>5</v>
      </c>
      <c r="AA77">
        <f t="shared" si="14"/>
        <v>8</v>
      </c>
      <c r="AB77">
        <f t="shared" si="15"/>
        <v>2025</v>
      </c>
      <c r="AC77" t="str">
        <f t="shared" si="16"/>
        <v>Unique</v>
      </c>
      <c r="AD77" t="str">
        <f t="shared" si="17"/>
        <v>Clean</v>
      </c>
    </row>
    <row r="78" spans="1:30" x14ac:dyDescent="0.3">
      <c r="A78" t="s">
        <v>346</v>
      </c>
      <c r="B78" s="2">
        <v>45599</v>
      </c>
      <c r="C78" s="2">
        <v>45607</v>
      </c>
      <c r="D78" t="s">
        <v>347</v>
      </c>
      <c r="E78" t="s">
        <v>71</v>
      </c>
      <c r="F78" t="s">
        <v>99</v>
      </c>
      <c r="G78" t="s">
        <v>47</v>
      </c>
      <c r="H78" t="s">
        <v>238</v>
      </c>
      <c r="I78" t="s">
        <v>239</v>
      </c>
      <c r="J78" t="s">
        <v>37</v>
      </c>
      <c r="K78" t="s">
        <v>100</v>
      </c>
      <c r="L78" t="s">
        <v>348</v>
      </c>
      <c r="M78" t="s">
        <v>40</v>
      </c>
      <c r="N78">
        <v>3</v>
      </c>
      <c r="O78">
        <v>3406.27</v>
      </c>
      <c r="P78" s="3">
        <v>0</v>
      </c>
      <c r="Q78">
        <v>10218.81</v>
      </c>
      <c r="R78">
        <v>7616.97</v>
      </c>
      <c r="S78">
        <v>2601.84</v>
      </c>
      <c r="T78" t="s">
        <v>41</v>
      </c>
      <c r="U78" t="s">
        <v>42</v>
      </c>
      <c r="V78" s="3">
        <f t="shared" si="9"/>
        <v>0</v>
      </c>
      <c r="W78">
        <f t="shared" si="10"/>
        <v>10218.81</v>
      </c>
      <c r="X78">
        <f t="shared" si="11"/>
        <v>2601.8399999999992</v>
      </c>
      <c r="Y78" s="4">
        <f t="shared" si="12"/>
        <v>0.2546128169522674</v>
      </c>
      <c r="Z78">
        <f t="shared" si="13"/>
        <v>8</v>
      </c>
      <c r="AA78">
        <f t="shared" si="14"/>
        <v>11</v>
      </c>
      <c r="AB78">
        <f t="shared" si="15"/>
        <v>2024</v>
      </c>
      <c r="AC78" t="str">
        <f t="shared" si="16"/>
        <v>Unique</v>
      </c>
      <c r="AD78" t="str">
        <f t="shared" si="17"/>
        <v>Clean</v>
      </c>
    </row>
    <row r="79" spans="1:30" x14ac:dyDescent="0.3">
      <c r="A79" t="s">
        <v>349</v>
      </c>
      <c r="B79" s="2">
        <v>45846</v>
      </c>
      <c r="C79" s="2">
        <v>45850</v>
      </c>
      <c r="D79" t="s">
        <v>350</v>
      </c>
      <c r="E79" t="s">
        <v>150</v>
      </c>
      <c r="F79" t="s">
        <v>104</v>
      </c>
      <c r="G79" t="s">
        <v>34</v>
      </c>
      <c r="H79" t="s">
        <v>145</v>
      </c>
      <c r="I79" t="s">
        <v>146</v>
      </c>
      <c r="J79" t="s">
        <v>50</v>
      </c>
      <c r="K79" t="s">
        <v>66</v>
      </c>
      <c r="L79" t="s">
        <v>351</v>
      </c>
      <c r="M79" t="s">
        <v>68</v>
      </c>
      <c r="N79">
        <v>1</v>
      </c>
      <c r="O79">
        <v>2582.1999999999998</v>
      </c>
      <c r="P79" s="3">
        <v>0.15</v>
      </c>
      <c r="Q79">
        <v>2194.87</v>
      </c>
      <c r="R79">
        <v>1223.17</v>
      </c>
      <c r="S79">
        <v>971.7</v>
      </c>
      <c r="T79" t="s">
        <v>111</v>
      </c>
      <c r="U79" t="s">
        <v>77</v>
      </c>
      <c r="V79" s="3">
        <f t="shared" si="9"/>
        <v>0.15</v>
      </c>
      <c r="W79">
        <f t="shared" si="10"/>
        <v>2194.87</v>
      </c>
      <c r="X79">
        <f t="shared" si="11"/>
        <v>971.69999999999982</v>
      </c>
      <c r="Y79" s="4">
        <f t="shared" si="12"/>
        <v>0.44271414707932583</v>
      </c>
      <c r="Z79">
        <f t="shared" si="13"/>
        <v>4</v>
      </c>
      <c r="AA79">
        <f t="shared" si="14"/>
        <v>7</v>
      </c>
      <c r="AB79">
        <f t="shared" si="15"/>
        <v>2025</v>
      </c>
      <c r="AC79" t="str">
        <f t="shared" si="16"/>
        <v>Unique</v>
      </c>
      <c r="AD79" t="str">
        <f t="shared" si="17"/>
        <v>Warning</v>
      </c>
    </row>
    <row r="80" spans="1:30" x14ac:dyDescent="0.3">
      <c r="A80" t="s">
        <v>352</v>
      </c>
      <c r="B80" s="2">
        <v>45854</v>
      </c>
      <c r="C80" s="2">
        <v>45859</v>
      </c>
      <c r="D80" t="s">
        <v>353</v>
      </c>
      <c r="E80" t="s">
        <v>141</v>
      </c>
      <c r="F80" t="s">
        <v>99</v>
      </c>
      <c r="G80" t="s">
        <v>47</v>
      </c>
      <c r="H80" t="s">
        <v>108</v>
      </c>
      <c r="I80" t="s">
        <v>109</v>
      </c>
      <c r="J80" t="s">
        <v>50</v>
      </c>
      <c r="K80" t="s">
        <v>51</v>
      </c>
      <c r="L80" t="s">
        <v>354</v>
      </c>
      <c r="M80" t="s">
        <v>59</v>
      </c>
      <c r="N80">
        <v>5</v>
      </c>
      <c r="O80">
        <v>2129.5100000000002</v>
      </c>
      <c r="P80" s="3">
        <v>0.15</v>
      </c>
      <c r="Q80">
        <v>9050.42</v>
      </c>
      <c r="R80">
        <v>6778.85</v>
      </c>
      <c r="S80">
        <v>2271.5700000000002</v>
      </c>
      <c r="T80" t="s">
        <v>41</v>
      </c>
      <c r="U80" t="s">
        <v>42</v>
      </c>
      <c r="V80" s="3">
        <f t="shared" si="9"/>
        <v>0.15</v>
      </c>
      <c r="W80">
        <f t="shared" si="10"/>
        <v>9050.4175000000014</v>
      </c>
      <c r="X80">
        <f t="shared" si="11"/>
        <v>2271.567500000001</v>
      </c>
      <c r="Y80" s="4">
        <f t="shared" si="12"/>
        <v>0.25099035486484472</v>
      </c>
      <c r="Z80">
        <f t="shared" si="13"/>
        <v>5</v>
      </c>
      <c r="AA80">
        <f t="shared" si="14"/>
        <v>7</v>
      </c>
      <c r="AB80">
        <f t="shared" si="15"/>
        <v>2025</v>
      </c>
      <c r="AC80" t="str">
        <f t="shared" si="16"/>
        <v>Unique</v>
      </c>
      <c r="AD80" t="str">
        <f t="shared" si="17"/>
        <v>Clean</v>
      </c>
    </row>
    <row r="81" spans="1:30" x14ac:dyDescent="0.3">
      <c r="A81" t="s">
        <v>355</v>
      </c>
      <c r="B81" s="2">
        <v>45927</v>
      </c>
      <c r="C81" s="2">
        <v>45933</v>
      </c>
      <c r="D81" t="s">
        <v>356</v>
      </c>
      <c r="E81" t="s">
        <v>171</v>
      </c>
      <c r="F81" t="s">
        <v>104</v>
      </c>
      <c r="G81" t="s">
        <v>63</v>
      </c>
      <c r="H81" t="s">
        <v>257</v>
      </c>
      <c r="I81" t="s">
        <v>258</v>
      </c>
      <c r="J81" t="s">
        <v>50</v>
      </c>
      <c r="K81" t="s">
        <v>75</v>
      </c>
      <c r="L81" t="s">
        <v>357</v>
      </c>
      <c r="M81" t="s">
        <v>53</v>
      </c>
      <c r="N81">
        <v>9</v>
      </c>
      <c r="O81">
        <v>4131.5200000000004</v>
      </c>
      <c r="P81" s="3">
        <v>0.1</v>
      </c>
      <c r="Q81">
        <v>33465.31</v>
      </c>
      <c r="R81">
        <v>24781.26</v>
      </c>
      <c r="S81">
        <v>8684.0499999999993</v>
      </c>
      <c r="T81" t="s">
        <v>41</v>
      </c>
      <c r="U81" t="s">
        <v>42</v>
      </c>
      <c r="V81" s="3">
        <f t="shared" si="9"/>
        <v>0.1</v>
      </c>
      <c r="W81">
        <f t="shared" si="10"/>
        <v>33465.312000000005</v>
      </c>
      <c r="X81">
        <f t="shared" si="11"/>
        <v>8684.052000000007</v>
      </c>
      <c r="Y81" s="4">
        <f t="shared" si="12"/>
        <v>0.25949412932411942</v>
      </c>
      <c r="Z81">
        <f t="shared" si="13"/>
        <v>6</v>
      </c>
      <c r="AA81">
        <f t="shared" si="14"/>
        <v>9</v>
      </c>
      <c r="AB81">
        <f t="shared" si="15"/>
        <v>2025</v>
      </c>
      <c r="AC81" t="str">
        <f t="shared" si="16"/>
        <v>Unique</v>
      </c>
      <c r="AD81" t="str">
        <f t="shared" si="17"/>
        <v>Clean</v>
      </c>
    </row>
    <row r="82" spans="1:30" x14ac:dyDescent="0.3">
      <c r="A82" t="s">
        <v>358</v>
      </c>
      <c r="B82" s="2">
        <v>45514</v>
      </c>
      <c r="C82" s="2">
        <v>45518</v>
      </c>
      <c r="D82" t="s">
        <v>359</v>
      </c>
      <c r="E82" t="s">
        <v>137</v>
      </c>
      <c r="F82" t="s">
        <v>46</v>
      </c>
      <c r="G82" t="s">
        <v>34</v>
      </c>
      <c r="H82" t="s">
        <v>360</v>
      </c>
      <c r="I82" t="s">
        <v>361</v>
      </c>
      <c r="J82" t="s">
        <v>37</v>
      </c>
      <c r="K82" t="s">
        <v>133</v>
      </c>
      <c r="L82" t="s">
        <v>362</v>
      </c>
      <c r="M82" t="s">
        <v>40</v>
      </c>
      <c r="N82">
        <v>4</v>
      </c>
      <c r="O82">
        <v>1182.32</v>
      </c>
      <c r="P82" s="3">
        <v>0.1</v>
      </c>
      <c r="Q82">
        <v>4256.3500000000004</v>
      </c>
      <c r="R82">
        <v>2495.33</v>
      </c>
      <c r="S82">
        <v>1761.02</v>
      </c>
      <c r="T82" t="s">
        <v>120</v>
      </c>
      <c r="U82" t="s">
        <v>112</v>
      </c>
      <c r="V82" s="3">
        <f t="shared" si="9"/>
        <v>0.1</v>
      </c>
      <c r="W82">
        <f t="shared" si="10"/>
        <v>4256.3519999999999</v>
      </c>
      <c r="X82">
        <f t="shared" si="11"/>
        <v>1761.0219999999999</v>
      </c>
      <c r="Y82" s="4">
        <f t="shared" si="12"/>
        <v>0.41373974708858663</v>
      </c>
      <c r="Z82">
        <f t="shared" si="13"/>
        <v>4</v>
      </c>
      <c r="AA82">
        <f t="shared" si="14"/>
        <v>8</v>
      </c>
      <c r="AB82">
        <f t="shared" si="15"/>
        <v>2024</v>
      </c>
      <c r="AC82" t="str">
        <f t="shared" si="16"/>
        <v>Unique</v>
      </c>
      <c r="AD82" t="str">
        <f t="shared" si="17"/>
        <v>Clean</v>
      </c>
    </row>
    <row r="83" spans="1:30" x14ac:dyDescent="0.3">
      <c r="A83" t="s">
        <v>363</v>
      </c>
      <c r="B83" s="2">
        <v>45732</v>
      </c>
      <c r="C83" s="2">
        <v>45733</v>
      </c>
      <c r="D83" t="s">
        <v>364</v>
      </c>
      <c r="E83" t="s">
        <v>32</v>
      </c>
      <c r="F83" t="s">
        <v>104</v>
      </c>
      <c r="G83" t="s">
        <v>72</v>
      </c>
      <c r="H83" t="s">
        <v>199</v>
      </c>
      <c r="I83" t="s">
        <v>200</v>
      </c>
      <c r="J83" t="s">
        <v>37</v>
      </c>
      <c r="K83" t="s">
        <v>100</v>
      </c>
      <c r="L83" t="s">
        <v>365</v>
      </c>
      <c r="M83" t="s">
        <v>53</v>
      </c>
      <c r="N83">
        <v>3</v>
      </c>
      <c r="O83">
        <v>1841.91</v>
      </c>
      <c r="P83" s="3">
        <v>0</v>
      </c>
      <c r="Q83">
        <v>5525.73</v>
      </c>
      <c r="R83">
        <v>3093.42</v>
      </c>
      <c r="S83">
        <v>2432.31</v>
      </c>
      <c r="T83" t="s">
        <v>41</v>
      </c>
      <c r="U83" t="s">
        <v>42</v>
      </c>
      <c r="V83" s="3">
        <f t="shared" si="9"/>
        <v>0</v>
      </c>
      <c r="W83">
        <f t="shared" si="10"/>
        <v>5525.7300000000005</v>
      </c>
      <c r="X83">
        <f t="shared" si="11"/>
        <v>2432.3100000000004</v>
      </c>
      <c r="Y83" s="4">
        <f t="shared" si="12"/>
        <v>0.44017894468242208</v>
      </c>
      <c r="Z83">
        <f t="shared" si="13"/>
        <v>1</v>
      </c>
      <c r="AA83">
        <f t="shared" si="14"/>
        <v>3</v>
      </c>
      <c r="AB83">
        <f t="shared" si="15"/>
        <v>2025</v>
      </c>
      <c r="AC83" t="str">
        <f t="shared" si="16"/>
        <v>Unique</v>
      </c>
      <c r="AD83" t="str">
        <f t="shared" si="17"/>
        <v>Clean</v>
      </c>
    </row>
    <row r="84" spans="1:30" x14ac:dyDescent="0.3">
      <c r="A84" t="s">
        <v>366</v>
      </c>
      <c r="B84" s="2">
        <v>45507</v>
      </c>
      <c r="C84" s="2">
        <v>45508</v>
      </c>
      <c r="D84" t="s">
        <v>367</v>
      </c>
      <c r="E84" t="s">
        <v>62</v>
      </c>
      <c r="F84" t="s">
        <v>33</v>
      </c>
      <c r="G84" t="s">
        <v>34</v>
      </c>
      <c r="H84" t="s">
        <v>145</v>
      </c>
      <c r="I84" t="s">
        <v>146</v>
      </c>
      <c r="J84" t="s">
        <v>83</v>
      </c>
      <c r="K84" t="s">
        <v>89</v>
      </c>
      <c r="L84" t="s">
        <v>368</v>
      </c>
      <c r="M84" t="s">
        <v>40</v>
      </c>
      <c r="N84">
        <v>6</v>
      </c>
      <c r="O84">
        <v>1001.73</v>
      </c>
      <c r="P84" s="3">
        <v>0</v>
      </c>
      <c r="Q84">
        <v>6010.38</v>
      </c>
      <c r="R84">
        <v>3762.85</v>
      </c>
      <c r="S84">
        <v>2247.5300000000002</v>
      </c>
      <c r="T84" t="s">
        <v>164</v>
      </c>
      <c r="U84" t="s">
        <v>112</v>
      </c>
      <c r="V84" s="3">
        <f t="shared" si="9"/>
        <v>0</v>
      </c>
      <c r="W84">
        <f t="shared" si="10"/>
        <v>6010.38</v>
      </c>
      <c r="X84">
        <f t="shared" si="11"/>
        <v>2247.5300000000002</v>
      </c>
      <c r="Y84" s="4">
        <f t="shared" si="12"/>
        <v>0.37394141468592673</v>
      </c>
      <c r="Z84">
        <f t="shared" si="13"/>
        <v>1</v>
      </c>
      <c r="AA84">
        <f t="shared" si="14"/>
        <v>8</v>
      </c>
      <c r="AB84">
        <f t="shared" si="15"/>
        <v>2024</v>
      </c>
      <c r="AC84" t="str">
        <f t="shared" si="16"/>
        <v>Unique</v>
      </c>
      <c r="AD84" t="str">
        <f t="shared" si="17"/>
        <v>Warning</v>
      </c>
    </row>
    <row r="85" spans="1:30" x14ac:dyDescent="0.3">
      <c r="A85" t="s">
        <v>369</v>
      </c>
      <c r="B85" s="2">
        <v>45591</v>
      </c>
      <c r="C85" s="2">
        <v>45594</v>
      </c>
      <c r="D85" t="s">
        <v>370</v>
      </c>
      <c r="E85" t="s">
        <v>98</v>
      </c>
      <c r="F85" t="s">
        <v>104</v>
      </c>
      <c r="G85" t="s">
        <v>72</v>
      </c>
      <c r="H85" t="s">
        <v>73</v>
      </c>
      <c r="I85" t="s">
        <v>74</v>
      </c>
      <c r="J85" t="s">
        <v>50</v>
      </c>
      <c r="K85" t="s">
        <v>51</v>
      </c>
      <c r="L85" t="s">
        <v>371</v>
      </c>
      <c r="M85" t="s">
        <v>40</v>
      </c>
      <c r="N85">
        <v>9</v>
      </c>
      <c r="O85">
        <v>131.74</v>
      </c>
      <c r="P85" s="3">
        <v>0.2</v>
      </c>
      <c r="Q85">
        <v>948.53</v>
      </c>
      <c r="R85">
        <v>674.62</v>
      </c>
      <c r="S85">
        <v>273.91000000000003</v>
      </c>
      <c r="T85" t="s">
        <v>41</v>
      </c>
      <c r="U85" t="s">
        <v>42</v>
      </c>
      <c r="V85" s="3">
        <f t="shared" si="9"/>
        <v>0.2</v>
      </c>
      <c r="W85">
        <f t="shared" si="10"/>
        <v>948.52800000000013</v>
      </c>
      <c r="X85">
        <f t="shared" si="11"/>
        <v>273.90800000000013</v>
      </c>
      <c r="Y85" s="4">
        <f t="shared" si="12"/>
        <v>0.28877165460587362</v>
      </c>
      <c r="Z85">
        <f t="shared" si="13"/>
        <v>3</v>
      </c>
      <c r="AA85">
        <f t="shared" si="14"/>
        <v>10</v>
      </c>
      <c r="AB85">
        <f t="shared" si="15"/>
        <v>2024</v>
      </c>
      <c r="AC85" t="str">
        <f t="shared" si="16"/>
        <v>Unique</v>
      </c>
      <c r="AD85" t="str">
        <f t="shared" si="17"/>
        <v>Clean</v>
      </c>
    </row>
    <row r="86" spans="1:30" x14ac:dyDescent="0.3">
      <c r="A86" t="s">
        <v>372</v>
      </c>
      <c r="B86" s="2">
        <v>45566</v>
      </c>
      <c r="C86" s="2">
        <v>45568</v>
      </c>
      <c r="D86" t="s">
        <v>373</v>
      </c>
      <c r="E86" t="s">
        <v>150</v>
      </c>
      <c r="F86" t="s">
        <v>99</v>
      </c>
      <c r="G86" t="s">
        <v>63</v>
      </c>
      <c r="H86" t="s">
        <v>257</v>
      </c>
      <c r="I86" t="s">
        <v>258</v>
      </c>
      <c r="J86" t="s">
        <v>83</v>
      </c>
      <c r="K86" t="s">
        <v>180</v>
      </c>
      <c r="L86" t="s">
        <v>374</v>
      </c>
      <c r="M86" t="s">
        <v>40</v>
      </c>
      <c r="N86">
        <v>6</v>
      </c>
      <c r="O86">
        <v>570.28</v>
      </c>
      <c r="P86" s="3">
        <v>0.2</v>
      </c>
      <c r="Q86">
        <v>2737.34</v>
      </c>
      <c r="R86">
        <v>2085.44</v>
      </c>
      <c r="S86">
        <v>651.9</v>
      </c>
      <c r="T86" t="s">
        <v>41</v>
      </c>
      <c r="U86" t="s">
        <v>42</v>
      </c>
      <c r="V86" s="3">
        <f t="shared" si="9"/>
        <v>0.2</v>
      </c>
      <c r="W86">
        <f t="shared" si="10"/>
        <v>2737.3440000000001</v>
      </c>
      <c r="X86">
        <f t="shared" si="11"/>
        <v>651.904</v>
      </c>
      <c r="Y86" s="4">
        <f t="shared" si="12"/>
        <v>0.23815201889130486</v>
      </c>
      <c r="Z86">
        <f t="shared" si="13"/>
        <v>2</v>
      </c>
      <c r="AA86">
        <f t="shared" si="14"/>
        <v>10</v>
      </c>
      <c r="AB86">
        <f t="shared" si="15"/>
        <v>2024</v>
      </c>
      <c r="AC86" t="str">
        <f t="shared" si="16"/>
        <v>Unique</v>
      </c>
      <c r="AD86" t="str">
        <f t="shared" si="17"/>
        <v>Clean</v>
      </c>
    </row>
    <row r="87" spans="1:30" x14ac:dyDescent="0.3">
      <c r="A87" t="s">
        <v>375</v>
      </c>
      <c r="B87" s="2">
        <v>45503</v>
      </c>
      <c r="C87" s="2">
        <v>45509</v>
      </c>
      <c r="D87" t="s">
        <v>376</v>
      </c>
      <c r="E87" t="s">
        <v>274</v>
      </c>
      <c r="F87" t="s">
        <v>99</v>
      </c>
      <c r="G87" t="s">
        <v>34</v>
      </c>
      <c r="H87" t="s">
        <v>360</v>
      </c>
      <c r="I87" t="s">
        <v>361</v>
      </c>
      <c r="J87" t="s">
        <v>37</v>
      </c>
      <c r="K87" t="s">
        <v>162</v>
      </c>
      <c r="L87" t="s">
        <v>377</v>
      </c>
      <c r="M87" t="s">
        <v>68</v>
      </c>
      <c r="N87">
        <v>1</v>
      </c>
      <c r="O87">
        <v>608.64</v>
      </c>
      <c r="P87" s="3">
        <v>0</v>
      </c>
      <c r="Q87">
        <v>608.64</v>
      </c>
      <c r="R87">
        <v>343.99</v>
      </c>
      <c r="S87">
        <v>264.64999999999998</v>
      </c>
      <c r="T87" t="s">
        <v>41</v>
      </c>
      <c r="U87" t="s">
        <v>77</v>
      </c>
      <c r="V87" s="3">
        <f t="shared" si="9"/>
        <v>0</v>
      </c>
      <c r="W87">
        <f t="shared" si="10"/>
        <v>608.64</v>
      </c>
      <c r="X87">
        <f t="shared" si="11"/>
        <v>264.64999999999998</v>
      </c>
      <c r="Y87" s="4">
        <f t="shared" si="12"/>
        <v>0.43482189800210302</v>
      </c>
      <c r="Z87">
        <f t="shared" si="13"/>
        <v>6</v>
      </c>
      <c r="AA87">
        <f t="shared" si="14"/>
        <v>7</v>
      </c>
      <c r="AB87">
        <f t="shared" si="15"/>
        <v>2024</v>
      </c>
      <c r="AC87" t="str">
        <f t="shared" si="16"/>
        <v>Unique</v>
      </c>
      <c r="AD87" t="str">
        <f t="shared" si="17"/>
        <v>Warning</v>
      </c>
    </row>
    <row r="88" spans="1:30" x14ac:dyDescent="0.3">
      <c r="A88" t="s">
        <v>378</v>
      </c>
      <c r="B88" s="2">
        <v>45474</v>
      </c>
      <c r="C88" s="2">
        <v>45474</v>
      </c>
      <c r="D88" t="s">
        <v>379</v>
      </c>
      <c r="E88" t="s">
        <v>71</v>
      </c>
      <c r="F88" t="s">
        <v>46</v>
      </c>
      <c r="G88" t="s">
        <v>34</v>
      </c>
      <c r="H88" t="s">
        <v>360</v>
      </c>
      <c r="I88" t="s">
        <v>361</v>
      </c>
      <c r="J88" t="s">
        <v>83</v>
      </c>
      <c r="K88" t="s">
        <v>89</v>
      </c>
      <c r="L88" t="s">
        <v>380</v>
      </c>
      <c r="M88" t="s">
        <v>40</v>
      </c>
      <c r="N88">
        <v>3</v>
      </c>
      <c r="O88">
        <v>885.28</v>
      </c>
      <c r="P88" s="3">
        <v>0.1</v>
      </c>
      <c r="Q88">
        <v>2390.2600000000002</v>
      </c>
      <c r="R88">
        <v>1495.94</v>
      </c>
      <c r="S88">
        <v>894.32</v>
      </c>
      <c r="T88" t="s">
        <v>111</v>
      </c>
      <c r="U88" t="s">
        <v>77</v>
      </c>
      <c r="V88" s="3">
        <f t="shared" si="9"/>
        <v>0.1</v>
      </c>
      <c r="W88">
        <f t="shared" si="10"/>
        <v>2390.2560000000003</v>
      </c>
      <c r="X88">
        <f t="shared" si="11"/>
        <v>894.31600000000026</v>
      </c>
      <c r="Y88" s="4">
        <f t="shared" si="12"/>
        <v>0.37415071858411825</v>
      </c>
      <c r="Z88">
        <f t="shared" si="13"/>
        <v>0</v>
      </c>
      <c r="AA88">
        <f t="shared" si="14"/>
        <v>7</v>
      </c>
      <c r="AB88">
        <f t="shared" si="15"/>
        <v>2024</v>
      </c>
      <c r="AC88" t="str">
        <f t="shared" si="16"/>
        <v>Unique</v>
      </c>
      <c r="AD88" t="str">
        <f t="shared" si="17"/>
        <v>Warning</v>
      </c>
    </row>
    <row r="89" spans="1:30" x14ac:dyDescent="0.3">
      <c r="A89" t="s">
        <v>381</v>
      </c>
      <c r="B89" s="2">
        <v>45506</v>
      </c>
      <c r="C89" s="2">
        <v>45507</v>
      </c>
      <c r="D89" t="s">
        <v>382</v>
      </c>
      <c r="E89" t="s">
        <v>80</v>
      </c>
      <c r="F89" t="s">
        <v>33</v>
      </c>
      <c r="G89" t="s">
        <v>47</v>
      </c>
      <c r="H89" t="s">
        <v>175</v>
      </c>
      <c r="I89" t="s">
        <v>176</v>
      </c>
      <c r="J89" t="s">
        <v>37</v>
      </c>
      <c r="K89" t="s">
        <v>162</v>
      </c>
      <c r="L89" t="s">
        <v>383</v>
      </c>
      <c r="M89" t="s">
        <v>68</v>
      </c>
      <c r="N89">
        <v>7</v>
      </c>
      <c r="O89">
        <v>3345.22</v>
      </c>
      <c r="P89" s="3">
        <v>0</v>
      </c>
      <c r="Q89">
        <v>23416.54</v>
      </c>
      <c r="R89">
        <v>15490.89</v>
      </c>
      <c r="S89">
        <v>7925.65</v>
      </c>
      <c r="T89" t="s">
        <v>41</v>
      </c>
      <c r="U89" t="s">
        <v>42</v>
      </c>
      <c r="V89" s="3">
        <f t="shared" si="9"/>
        <v>0</v>
      </c>
      <c r="W89">
        <f t="shared" si="10"/>
        <v>23416.539999999997</v>
      </c>
      <c r="X89">
        <f t="shared" si="11"/>
        <v>7925.6499999999978</v>
      </c>
      <c r="Y89" s="4">
        <f t="shared" si="12"/>
        <v>0.33846375254414185</v>
      </c>
      <c r="Z89">
        <f t="shared" si="13"/>
        <v>1</v>
      </c>
      <c r="AA89">
        <f t="shared" si="14"/>
        <v>8</v>
      </c>
      <c r="AB89">
        <f t="shared" si="15"/>
        <v>2024</v>
      </c>
      <c r="AC89" t="str">
        <f t="shared" si="16"/>
        <v>Unique</v>
      </c>
      <c r="AD89" t="str">
        <f t="shared" si="17"/>
        <v>Clean</v>
      </c>
    </row>
    <row r="90" spans="1:30" x14ac:dyDescent="0.3">
      <c r="A90" t="s">
        <v>384</v>
      </c>
      <c r="B90" s="2">
        <v>45375</v>
      </c>
      <c r="C90" s="2">
        <v>45378</v>
      </c>
      <c r="D90" t="s">
        <v>385</v>
      </c>
      <c r="E90" t="s">
        <v>150</v>
      </c>
      <c r="F90" t="s">
        <v>46</v>
      </c>
      <c r="G90" t="s">
        <v>72</v>
      </c>
      <c r="H90" t="s">
        <v>73</v>
      </c>
      <c r="I90" t="s">
        <v>74</v>
      </c>
      <c r="J90" t="s">
        <v>50</v>
      </c>
      <c r="K90" t="s">
        <v>167</v>
      </c>
      <c r="L90" t="s">
        <v>386</v>
      </c>
      <c r="M90" t="s">
        <v>68</v>
      </c>
      <c r="N90">
        <v>2</v>
      </c>
      <c r="O90">
        <v>3284.75</v>
      </c>
      <c r="P90" s="3">
        <v>0.05</v>
      </c>
      <c r="Q90">
        <v>6241.02</v>
      </c>
      <c r="R90">
        <v>5345.88</v>
      </c>
      <c r="S90">
        <v>895.14</v>
      </c>
      <c r="T90" t="s">
        <v>41</v>
      </c>
      <c r="U90" t="s">
        <v>42</v>
      </c>
      <c r="V90" s="3">
        <f t="shared" si="9"/>
        <v>0.05</v>
      </c>
      <c r="W90">
        <f t="shared" si="10"/>
        <v>6241.0249999999996</v>
      </c>
      <c r="X90">
        <f t="shared" si="11"/>
        <v>895.14499999999953</v>
      </c>
      <c r="Y90" s="4">
        <f t="shared" si="12"/>
        <v>0.14342916427990587</v>
      </c>
      <c r="Z90">
        <f t="shared" si="13"/>
        <v>3</v>
      </c>
      <c r="AA90">
        <f t="shared" si="14"/>
        <v>3</v>
      </c>
      <c r="AB90">
        <f t="shared" si="15"/>
        <v>2024</v>
      </c>
      <c r="AC90" t="str">
        <f t="shared" si="16"/>
        <v>Unique</v>
      </c>
      <c r="AD90" t="str">
        <f t="shared" si="17"/>
        <v>Clean</v>
      </c>
    </row>
    <row r="91" spans="1:30" x14ac:dyDescent="0.3">
      <c r="A91" t="s">
        <v>387</v>
      </c>
      <c r="B91" s="2">
        <v>45540</v>
      </c>
      <c r="C91" s="2">
        <v>45540</v>
      </c>
      <c r="D91" t="s">
        <v>388</v>
      </c>
      <c r="E91" t="s">
        <v>274</v>
      </c>
      <c r="F91" t="s">
        <v>33</v>
      </c>
      <c r="G91" t="s">
        <v>63</v>
      </c>
      <c r="H91" t="s">
        <v>93</v>
      </c>
      <c r="I91" t="s">
        <v>94</v>
      </c>
      <c r="J91" t="s">
        <v>50</v>
      </c>
      <c r="K91" t="s">
        <v>167</v>
      </c>
      <c r="L91" t="s">
        <v>389</v>
      </c>
      <c r="M91" t="s">
        <v>68</v>
      </c>
      <c r="N91">
        <v>7</v>
      </c>
      <c r="O91">
        <v>3761.09</v>
      </c>
      <c r="P91" s="3">
        <v>0.2</v>
      </c>
      <c r="Q91">
        <v>21062.1</v>
      </c>
      <c r="R91">
        <v>12057.13</v>
      </c>
      <c r="S91">
        <v>9004.9699999999993</v>
      </c>
      <c r="T91" t="s">
        <v>120</v>
      </c>
      <c r="U91" t="s">
        <v>77</v>
      </c>
      <c r="V91" s="3">
        <f t="shared" si="9"/>
        <v>0.2</v>
      </c>
      <c r="W91">
        <f t="shared" si="10"/>
        <v>21062.104000000003</v>
      </c>
      <c r="X91">
        <f t="shared" si="11"/>
        <v>9004.9740000000038</v>
      </c>
      <c r="Y91" s="4">
        <f t="shared" si="12"/>
        <v>0.42754389589947911</v>
      </c>
      <c r="Z91">
        <f t="shared" si="13"/>
        <v>0</v>
      </c>
      <c r="AA91">
        <f t="shared" si="14"/>
        <v>9</v>
      </c>
      <c r="AB91">
        <f t="shared" si="15"/>
        <v>2024</v>
      </c>
      <c r="AC91" t="str">
        <f t="shared" si="16"/>
        <v>Unique</v>
      </c>
      <c r="AD91" t="str">
        <f t="shared" si="17"/>
        <v>Warning</v>
      </c>
    </row>
    <row r="92" spans="1:30" x14ac:dyDescent="0.3">
      <c r="A92" t="s">
        <v>390</v>
      </c>
      <c r="B92" s="2">
        <v>45893</v>
      </c>
      <c r="C92" s="2">
        <v>45898</v>
      </c>
      <c r="D92" t="s">
        <v>391</v>
      </c>
      <c r="E92" t="s">
        <v>137</v>
      </c>
      <c r="F92" t="s">
        <v>46</v>
      </c>
      <c r="G92" t="s">
        <v>47</v>
      </c>
      <c r="H92" t="s">
        <v>154</v>
      </c>
      <c r="I92" t="s">
        <v>155</v>
      </c>
      <c r="J92" t="s">
        <v>83</v>
      </c>
      <c r="K92" t="s">
        <v>89</v>
      </c>
      <c r="L92" t="s">
        <v>392</v>
      </c>
      <c r="M92" t="s">
        <v>59</v>
      </c>
      <c r="N92">
        <v>3</v>
      </c>
      <c r="O92">
        <v>3703.96</v>
      </c>
      <c r="P92" s="3">
        <v>0.15</v>
      </c>
      <c r="Q92">
        <v>9445.1</v>
      </c>
      <c r="R92">
        <v>5586.28</v>
      </c>
      <c r="S92">
        <v>3858.82</v>
      </c>
      <c r="T92" t="s">
        <v>41</v>
      </c>
      <c r="U92" t="s">
        <v>42</v>
      </c>
      <c r="V92" s="3">
        <f t="shared" si="9"/>
        <v>0.15</v>
      </c>
      <c r="W92">
        <f t="shared" si="10"/>
        <v>9445.098</v>
      </c>
      <c r="X92">
        <f t="shared" si="11"/>
        <v>3858.8180000000002</v>
      </c>
      <c r="Y92" s="4">
        <f t="shared" si="12"/>
        <v>0.40855245758170006</v>
      </c>
      <c r="Z92">
        <f t="shared" si="13"/>
        <v>5</v>
      </c>
      <c r="AA92">
        <f t="shared" si="14"/>
        <v>8</v>
      </c>
      <c r="AB92">
        <f t="shared" si="15"/>
        <v>2025</v>
      </c>
      <c r="AC92" t="str">
        <f t="shared" si="16"/>
        <v>Conflict - Review</v>
      </c>
      <c r="AD92" t="str">
        <f t="shared" si="17"/>
        <v>Invalid</v>
      </c>
    </row>
    <row r="93" spans="1:30" x14ac:dyDescent="0.3">
      <c r="A93" t="s">
        <v>393</v>
      </c>
      <c r="B93" s="2">
        <v>45718</v>
      </c>
      <c r="C93" s="2">
        <v>45724</v>
      </c>
      <c r="D93" t="s">
        <v>394</v>
      </c>
      <c r="E93" t="s">
        <v>141</v>
      </c>
      <c r="F93" t="s">
        <v>99</v>
      </c>
      <c r="G93" t="s">
        <v>72</v>
      </c>
      <c r="H93" t="s">
        <v>81</v>
      </c>
      <c r="I93" t="s">
        <v>82</v>
      </c>
      <c r="J93" t="s">
        <v>83</v>
      </c>
      <c r="K93" t="s">
        <v>89</v>
      </c>
      <c r="L93" t="s">
        <v>395</v>
      </c>
      <c r="M93" t="s">
        <v>40</v>
      </c>
      <c r="N93">
        <v>9</v>
      </c>
      <c r="O93">
        <v>269.68</v>
      </c>
      <c r="P93" s="3">
        <v>0</v>
      </c>
      <c r="Q93">
        <v>2427.12</v>
      </c>
      <c r="R93">
        <v>1538.35</v>
      </c>
      <c r="S93">
        <v>804.53</v>
      </c>
      <c r="T93" t="s">
        <v>41</v>
      </c>
      <c r="U93" t="s">
        <v>42</v>
      </c>
      <c r="V93" s="3">
        <f t="shared" si="9"/>
        <v>0</v>
      </c>
      <c r="W93">
        <f t="shared" si="10"/>
        <v>2427.12</v>
      </c>
      <c r="X93">
        <f t="shared" si="11"/>
        <v>888.77</v>
      </c>
      <c r="Y93" s="4">
        <f t="shared" si="12"/>
        <v>0.36618296581957216</v>
      </c>
      <c r="Z93">
        <f t="shared" si="13"/>
        <v>6</v>
      </c>
      <c r="AA93">
        <f t="shared" si="14"/>
        <v>3</v>
      </c>
      <c r="AB93">
        <f t="shared" si="15"/>
        <v>2025</v>
      </c>
      <c r="AC93" t="str">
        <f t="shared" si="16"/>
        <v>Unique</v>
      </c>
      <c r="AD93" t="str">
        <f t="shared" si="17"/>
        <v>Clean</v>
      </c>
    </row>
    <row r="94" spans="1:30" x14ac:dyDescent="0.3">
      <c r="A94" t="s">
        <v>396</v>
      </c>
      <c r="B94" s="2">
        <v>45680</v>
      </c>
      <c r="C94" s="2">
        <v>45683</v>
      </c>
      <c r="D94" t="s">
        <v>397</v>
      </c>
      <c r="E94" t="s">
        <v>137</v>
      </c>
      <c r="F94" t="s">
        <v>33</v>
      </c>
      <c r="G94" t="s">
        <v>72</v>
      </c>
      <c r="H94" t="s">
        <v>81</v>
      </c>
      <c r="I94" t="s">
        <v>82</v>
      </c>
      <c r="J94" t="s">
        <v>37</v>
      </c>
      <c r="K94" t="s">
        <v>38</v>
      </c>
      <c r="L94" t="s">
        <v>398</v>
      </c>
      <c r="M94" t="s">
        <v>68</v>
      </c>
      <c r="N94">
        <v>9</v>
      </c>
      <c r="O94">
        <v>4458.26</v>
      </c>
      <c r="P94" s="3">
        <v>0.1</v>
      </c>
      <c r="Q94">
        <v>36111.910000000003</v>
      </c>
      <c r="R94">
        <v>29194.5</v>
      </c>
      <c r="S94">
        <v>6917.41</v>
      </c>
      <c r="T94" t="s">
        <v>41</v>
      </c>
      <c r="U94" t="s">
        <v>42</v>
      </c>
      <c r="V94" s="3">
        <f t="shared" si="9"/>
        <v>0.1</v>
      </c>
      <c r="W94">
        <f t="shared" si="10"/>
        <v>36111.906000000003</v>
      </c>
      <c r="X94">
        <f t="shared" si="11"/>
        <v>6917.4060000000027</v>
      </c>
      <c r="Y94" s="4">
        <f t="shared" si="12"/>
        <v>0.19155471882320479</v>
      </c>
      <c r="Z94">
        <f t="shared" si="13"/>
        <v>3</v>
      </c>
      <c r="AA94">
        <f t="shared" si="14"/>
        <v>1</v>
      </c>
      <c r="AB94">
        <f t="shared" si="15"/>
        <v>2025</v>
      </c>
      <c r="AC94" t="str">
        <f t="shared" si="16"/>
        <v>Unique</v>
      </c>
      <c r="AD94" t="str">
        <f t="shared" si="17"/>
        <v>Clean</v>
      </c>
    </row>
    <row r="95" spans="1:30" x14ac:dyDescent="0.3">
      <c r="A95" t="s">
        <v>399</v>
      </c>
      <c r="B95" s="2">
        <v>45298</v>
      </c>
      <c r="C95" s="2">
        <v>45304</v>
      </c>
      <c r="D95" t="s">
        <v>400</v>
      </c>
      <c r="E95" t="s">
        <v>150</v>
      </c>
      <c r="F95" t="s">
        <v>99</v>
      </c>
      <c r="G95" t="s">
        <v>34</v>
      </c>
      <c r="H95" t="s">
        <v>145</v>
      </c>
      <c r="I95" t="s">
        <v>146</v>
      </c>
      <c r="J95" t="s">
        <v>37</v>
      </c>
      <c r="K95" t="s">
        <v>162</v>
      </c>
      <c r="L95" t="s">
        <v>401</v>
      </c>
      <c r="M95" t="s">
        <v>68</v>
      </c>
      <c r="N95">
        <v>7</v>
      </c>
      <c r="O95">
        <v>2788.97</v>
      </c>
      <c r="P95" s="3">
        <v>-0.09</v>
      </c>
      <c r="Q95">
        <v>19522.79</v>
      </c>
      <c r="R95">
        <v>12455.78</v>
      </c>
      <c r="S95">
        <v>7067.01</v>
      </c>
      <c r="T95" t="s">
        <v>41</v>
      </c>
      <c r="U95" t="s">
        <v>42</v>
      </c>
      <c r="V95" s="3">
        <f t="shared" si="9"/>
        <v>0.09</v>
      </c>
      <c r="W95">
        <f t="shared" si="10"/>
        <v>17765.738899999997</v>
      </c>
      <c r="X95">
        <f t="shared" si="11"/>
        <v>5309.958899999996</v>
      </c>
      <c r="Y95" s="4">
        <f t="shared" si="12"/>
        <v>0.29888759087864319</v>
      </c>
      <c r="Z95">
        <f t="shared" si="13"/>
        <v>6</v>
      </c>
      <c r="AA95">
        <f t="shared" si="14"/>
        <v>1</v>
      </c>
      <c r="AB95">
        <f t="shared" si="15"/>
        <v>2024</v>
      </c>
      <c r="AC95" t="str">
        <f t="shared" si="16"/>
        <v>Unique</v>
      </c>
      <c r="AD95" t="str">
        <f t="shared" si="17"/>
        <v>Invalid</v>
      </c>
    </row>
    <row r="96" spans="1:30" x14ac:dyDescent="0.3">
      <c r="A96" t="s">
        <v>402</v>
      </c>
      <c r="B96" s="2">
        <v>45541</v>
      </c>
      <c r="C96" s="2">
        <v>45544</v>
      </c>
      <c r="D96" t="s">
        <v>403</v>
      </c>
      <c r="E96" t="s">
        <v>171</v>
      </c>
      <c r="F96" t="s">
        <v>33</v>
      </c>
      <c r="G96" t="s">
        <v>34</v>
      </c>
      <c r="H96" t="s">
        <v>246</v>
      </c>
      <c r="I96" t="s">
        <v>247</v>
      </c>
      <c r="J96" t="s">
        <v>83</v>
      </c>
      <c r="K96" t="s">
        <v>180</v>
      </c>
      <c r="L96" t="s">
        <v>404</v>
      </c>
      <c r="M96" t="s">
        <v>40</v>
      </c>
      <c r="N96">
        <v>7</v>
      </c>
      <c r="O96">
        <v>3781.53</v>
      </c>
      <c r="P96" s="3">
        <v>0</v>
      </c>
      <c r="Q96">
        <v>26470.71</v>
      </c>
      <c r="R96">
        <v>21367.599999999999</v>
      </c>
      <c r="S96">
        <v>5103.1099999999997</v>
      </c>
      <c r="T96" t="s">
        <v>120</v>
      </c>
      <c r="U96" t="s">
        <v>77</v>
      </c>
      <c r="V96" s="3">
        <f t="shared" si="9"/>
        <v>0</v>
      </c>
      <c r="W96">
        <f t="shared" si="10"/>
        <v>26470.710000000003</v>
      </c>
      <c r="X96">
        <f t="shared" si="11"/>
        <v>5103.1100000000042</v>
      </c>
      <c r="Y96" s="4">
        <f t="shared" si="12"/>
        <v>0.19278326875251944</v>
      </c>
      <c r="Z96">
        <f t="shared" si="13"/>
        <v>3</v>
      </c>
      <c r="AA96">
        <f t="shared" si="14"/>
        <v>9</v>
      </c>
      <c r="AB96">
        <f t="shared" si="15"/>
        <v>2024</v>
      </c>
      <c r="AC96" t="str">
        <f t="shared" si="16"/>
        <v>Unique</v>
      </c>
      <c r="AD96" t="str">
        <f t="shared" si="17"/>
        <v>Warning</v>
      </c>
    </row>
    <row r="97" spans="1:30" x14ac:dyDescent="0.3">
      <c r="A97" t="s">
        <v>405</v>
      </c>
      <c r="B97" s="2">
        <v>45905</v>
      </c>
      <c r="C97" s="2">
        <v>45910</v>
      </c>
      <c r="D97" t="s">
        <v>406</v>
      </c>
      <c r="E97" t="s">
        <v>141</v>
      </c>
      <c r="F97" t="s">
        <v>99</v>
      </c>
      <c r="G97" t="s">
        <v>72</v>
      </c>
      <c r="H97" t="s">
        <v>199</v>
      </c>
      <c r="I97" t="s">
        <v>200</v>
      </c>
      <c r="J97" t="s">
        <v>50</v>
      </c>
      <c r="K97" t="s">
        <v>167</v>
      </c>
      <c r="L97" t="s">
        <v>407</v>
      </c>
      <c r="M97" t="s">
        <v>53</v>
      </c>
      <c r="N97">
        <v>6</v>
      </c>
      <c r="O97">
        <v>1754.13</v>
      </c>
      <c r="P97" s="3">
        <v>0</v>
      </c>
      <c r="Q97">
        <v>10524.78</v>
      </c>
      <c r="R97">
        <v>8841.0499999999993</v>
      </c>
      <c r="S97">
        <v>1683.73</v>
      </c>
      <c r="T97" t="s">
        <v>41</v>
      </c>
      <c r="U97" t="s">
        <v>42</v>
      </c>
      <c r="V97" s="3">
        <f t="shared" si="9"/>
        <v>0</v>
      </c>
      <c r="W97">
        <f t="shared" si="10"/>
        <v>10524.78</v>
      </c>
      <c r="X97">
        <f t="shared" si="11"/>
        <v>1683.7300000000014</v>
      </c>
      <c r="Y97" s="4">
        <f t="shared" si="12"/>
        <v>0.15997769074507984</v>
      </c>
      <c r="Z97">
        <f t="shared" si="13"/>
        <v>5</v>
      </c>
      <c r="AA97">
        <f t="shared" si="14"/>
        <v>9</v>
      </c>
      <c r="AB97">
        <f t="shared" si="15"/>
        <v>2025</v>
      </c>
      <c r="AC97" t="str">
        <f t="shared" si="16"/>
        <v>Unique</v>
      </c>
      <c r="AD97" t="str">
        <f t="shared" si="17"/>
        <v>Clean</v>
      </c>
    </row>
    <row r="98" spans="1:30" x14ac:dyDescent="0.3">
      <c r="A98" t="s">
        <v>408</v>
      </c>
      <c r="B98" s="2">
        <v>45448</v>
      </c>
      <c r="C98" s="2">
        <v>45450</v>
      </c>
      <c r="D98" t="s">
        <v>409</v>
      </c>
      <c r="E98" t="s">
        <v>127</v>
      </c>
      <c r="F98" t="s">
        <v>104</v>
      </c>
      <c r="G98" t="s">
        <v>47</v>
      </c>
      <c r="H98" t="s">
        <v>48</v>
      </c>
      <c r="I98" t="s">
        <v>49</v>
      </c>
      <c r="J98" t="s">
        <v>83</v>
      </c>
      <c r="K98" t="s">
        <v>89</v>
      </c>
      <c r="L98" t="s">
        <v>410</v>
      </c>
      <c r="M98" t="s">
        <v>40</v>
      </c>
      <c r="N98">
        <v>2</v>
      </c>
      <c r="O98">
        <v>2259.2399999999998</v>
      </c>
      <c r="P98" s="3">
        <v>0.15</v>
      </c>
      <c r="Q98">
        <v>3840.71</v>
      </c>
      <c r="R98">
        <v>2516.29</v>
      </c>
      <c r="S98">
        <v>1324.42</v>
      </c>
      <c r="T98" t="s">
        <v>41</v>
      </c>
      <c r="U98" t="s">
        <v>42</v>
      </c>
      <c r="V98" s="3">
        <f t="shared" si="9"/>
        <v>0.15</v>
      </c>
      <c r="W98">
        <f t="shared" si="10"/>
        <v>3840.7079999999996</v>
      </c>
      <c r="X98">
        <f t="shared" si="11"/>
        <v>1324.4179999999997</v>
      </c>
      <c r="Y98" s="4">
        <f t="shared" si="12"/>
        <v>0.34483694152224009</v>
      </c>
      <c r="Z98">
        <f t="shared" si="13"/>
        <v>2</v>
      </c>
      <c r="AA98">
        <f t="shared" si="14"/>
        <v>6</v>
      </c>
      <c r="AB98">
        <f t="shared" si="15"/>
        <v>2024</v>
      </c>
      <c r="AC98" t="str">
        <f t="shared" si="16"/>
        <v>Unique</v>
      </c>
      <c r="AD98" t="str">
        <f t="shared" si="17"/>
        <v>Clean</v>
      </c>
    </row>
    <row r="99" spans="1:30" x14ac:dyDescent="0.3">
      <c r="A99" t="s">
        <v>411</v>
      </c>
      <c r="B99" s="2">
        <v>45877</v>
      </c>
      <c r="C99" s="2">
        <v>45880</v>
      </c>
      <c r="D99" t="s">
        <v>412</v>
      </c>
      <c r="E99" t="s">
        <v>171</v>
      </c>
      <c r="F99" t="s">
        <v>46</v>
      </c>
      <c r="G99" t="s">
        <v>72</v>
      </c>
      <c r="H99" t="s">
        <v>189</v>
      </c>
      <c r="I99" t="s">
        <v>190</v>
      </c>
      <c r="J99" t="s">
        <v>37</v>
      </c>
      <c r="K99" t="s">
        <v>133</v>
      </c>
      <c r="L99" t="s">
        <v>413</v>
      </c>
      <c r="M99" t="s">
        <v>53</v>
      </c>
      <c r="N99">
        <v>5</v>
      </c>
      <c r="O99">
        <v>3602.36</v>
      </c>
      <c r="P99" s="3">
        <v>0.2</v>
      </c>
      <c r="Q99">
        <v>14409.44</v>
      </c>
      <c r="R99">
        <v>8809.9699999999993</v>
      </c>
      <c r="S99">
        <v>5599.47</v>
      </c>
      <c r="T99" t="s">
        <v>120</v>
      </c>
      <c r="U99" t="s">
        <v>112</v>
      </c>
      <c r="V99" s="3">
        <f t="shared" si="9"/>
        <v>0.2</v>
      </c>
      <c r="W99">
        <f t="shared" si="10"/>
        <v>14409.44</v>
      </c>
      <c r="X99">
        <f t="shared" si="11"/>
        <v>5599.4700000000012</v>
      </c>
      <c r="Y99" s="4">
        <f t="shared" si="12"/>
        <v>0.38859733619071951</v>
      </c>
      <c r="Z99">
        <f t="shared" si="13"/>
        <v>3</v>
      </c>
      <c r="AA99">
        <f t="shared" si="14"/>
        <v>8</v>
      </c>
      <c r="AB99">
        <f t="shared" si="15"/>
        <v>2025</v>
      </c>
      <c r="AC99" t="str">
        <f t="shared" si="16"/>
        <v>Unique</v>
      </c>
      <c r="AD99" t="str">
        <f t="shared" si="17"/>
        <v>Clean</v>
      </c>
    </row>
    <row r="100" spans="1:30" x14ac:dyDescent="0.3">
      <c r="A100" t="s">
        <v>414</v>
      </c>
      <c r="B100" s="2">
        <v>45317</v>
      </c>
      <c r="C100" s="2">
        <v>45323</v>
      </c>
      <c r="D100" t="s">
        <v>415</v>
      </c>
      <c r="E100" t="s">
        <v>150</v>
      </c>
      <c r="F100" t="s">
        <v>104</v>
      </c>
      <c r="G100" t="s">
        <v>63</v>
      </c>
      <c r="H100" t="s">
        <v>194</v>
      </c>
      <c r="I100" t="s">
        <v>195</v>
      </c>
      <c r="J100" t="s">
        <v>83</v>
      </c>
      <c r="K100" t="s">
        <v>89</v>
      </c>
      <c r="L100" t="s">
        <v>416</v>
      </c>
      <c r="M100" t="s">
        <v>214</v>
      </c>
      <c r="N100">
        <v>8</v>
      </c>
      <c r="O100">
        <v>2108.9299999999998</v>
      </c>
      <c r="P100" s="3">
        <v>0.1</v>
      </c>
      <c r="Q100">
        <v>15184.3</v>
      </c>
      <c r="R100">
        <v>11270.74</v>
      </c>
      <c r="S100">
        <v>3913.56</v>
      </c>
      <c r="T100" t="s">
        <v>41</v>
      </c>
      <c r="U100" t="s">
        <v>42</v>
      </c>
      <c r="V100" s="3">
        <f t="shared" si="9"/>
        <v>0.1</v>
      </c>
      <c r="W100">
        <f t="shared" si="10"/>
        <v>15184.295999999998</v>
      </c>
      <c r="X100">
        <f t="shared" si="11"/>
        <v>3913.5559999999987</v>
      </c>
      <c r="Y100" s="4">
        <f t="shared" si="12"/>
        <v>0.25773707256497103</v>
      </c>
      <c r="Z100">
        <f t="shared" si="13"/>
        <v>6</v>
      </c>
      <c r="AA100">
        <f t="shared" si="14"/>
        <v>1</v>
      </c>
      <c r="AB100">
        <f t="shared" si="15"/>
        <v>2024</v>
      </c>
      <c r="AC100" t="str">
        <f t="shared" si="16"/>
        <v>Unique</v>
      </c>
      <c r="AD100" t="str">
        <f t="shared" si="17"/>
        <v>Warning</v>
      </c>
    </row>
    <row r="101" spans="1:30" x14ac:dyDescent="0.3">
      <c r="A101" t="s">
        <v>417</v>
      </c>
      <c r="B101" s="2">
        <v>45668</v>
      </c>
      <c r="C101" s="2">
        <v>45668</v>
      </c>
      <c r="D101" t="s">
        <v>418</v>
      </c>
      <c r="E101" t="s">
        <v>98</v>
      </c>
      <c r="F101" t="s">
        <v>46</v>
      </c>
      <c r="G101" t="s">
        <v>72</v>
      </c>
      <c r="H101" t="s">
        <v>35</v>
      </c>
      <c r="I101" t="s">
        <v>118</v>
      </c>
      <c r="J101" t="s">
        <v>83</v>
      </c>
      <c r="K101" t="s">
        <v>84</v>
      </c>
      <c r="L101" t="s">
        <v>419</v>
      </c>
      <c r="M101" t="s">
        <v>53</v>
      </c>
      <c r="N101">
        <v>3</v>
      </c>
      <c r="O101">
        <v>2165.29</v>
      </c>
      <c r="P101" s="3">
        <v>0</v>
      </c>
      <c r="Q101">
        <v>6495.87</v>
      </c>
      <c r="R101">
        <v>4700.8900000000003</v>
      </c>
      <c r="S101">
        <v>1794.98</v>
      </c>
      <c r="T101" t="s">
        <v>41</v>
      </c>
      <c r="U101" t="s">
        <v>42</v>
      </c>
      <c r="V101" s="3">
        <f t="shared" si="9"/>
        <v>0</v>
      </c>
      <c r="W101">
        <f t="shared" si="10"/>
        <v>6495.87</v>
      </c>
      <c r="X101">
        <f t="shared" si="11"/>
        <v>1794.9799999999996</v>
      </c>
      <c r="Y101" s="4">
        <f t="shared" si="12"/>
        <v>0.27632634273777024</v>
      </c>
      <c r="Z101">
        <f t="shared" si="13"/>
        <v>0</v>
      </c>
      <c r="AA101">
        <f t="shared" si="14"/>
        <v>1</v>
      </c>
      <c r="AB101">
        <f t="shared" si="15"/>
        <v>2025</v>
      </c>
      <c r="AC101" t="str">
        <f t="shared" si="16"/>
        <v>Unique</v>
      </c>
      <c r="AD101" t="str">
        <f t="shared" si="17"/>
        <v>Clean</v>
      </c>
    </row>
    <row r="102" spans="1:30" x14ac:dyDescent="0.3">
      <c r="A102" t="s">
        <v>420</v>
      </c>
      <c r="B102" s="2">
        <v>45912</v>
      </c>
      <c r="C102" s="2">
        <v>45918</v>
      </c>
      <c r="D102" t="s">
        <v>421</v>
      </c>
      <c r="E102" t="s">
        <v>137</v>
      </c>
      <c r="F102" t="s">
        <v>104</v>
      </c>
      <c r="G102" t="s">
        <v>63</v>
      </c>
      <c r="H102" t="s">
        <v>194</v>
      </c>
      <c r="I102" t="s">
        <v>195</v>
      </c>
      <c r="J102" t="s">
        <v>37</v>
      </c>
      <c r="K102" t="s">
        <v>133</v>
      </c>
      <c r="L102" t="s">
        <v>422</v>
      </c>
      <c r="M102" t="s">
        <v>68</v>
      </c>
      <c r="N102">
        <v>6</v>
      </c>
      <c r="O102">
        <v>1673.8</v>
      </c>
      <c r="P102" s="3">
        <v>0.05</v>
      </c>
      <c r="Q102">
        <v>9540.66</v>
      </c>
      <c r="R102">
        <v>5561.49</v>
      </c>
      <c r="S102">
        <v>3979.17</v>
      </c>
      <c r="T102" t="s">
        <v>41</v>
      </c>
      <c r="U102" t="s">
        <v>42</v>
      </c>
      <c r="V102" s="3">
        <f t="shared" si="9"/>
        <v>0.05</v>
      </c>
      <c r="W102">
        <f t="shared" si="10"/>
        <v>9540.659999999998</v>
      </c>
      <c r="X102">
        <f t="shared" si="11"/>
        <v>3979.1699999999983</v>
      </c>
      <c r="Y102" s="4">
        <f t="shared" si="12"/>
        <v>0.41707491934520241</v>
      </c>
      <c r="Z102">
        <f t="shared" si="13"/>
        <v>6</v>
      </c>
      <c r="AA102">
        <f t="shared" si="14"/>
        <v>9</v>
      </c>
      <c r="AB102">
        <f t="shared" si="15"/>
        <v>2025</v>
      </c>
      <c r="AC102" t="str">
        <f t="shared" si="16"/>
        <v>Unique</v>
      </c>
      <c r="AD102" t="str">
        <f t="shared" si="17"/>
        <v>Clean</v>
      </c>
    </row>
    <row r="103" spans="1:30" x14ac:dyDescent="0.3">
      <c r="A103" t="s">
        <v>423</v>
      </c>
      <c r="B103" s="2">
        <v>45465</v>
      </c>
      <c r="C103" s="2">
        <v>45469</v>
      </c>
      <c r="D103" t="s">
        <v>424</v>
      </c>
      <c r="E103" t="s">
        <v>150</v>
      </c>
      <c r="F103" t="s">
        <v>104</v>
      </c>
      <c r="G103" t="s">
        <v>47</v>
      </c>
      <c r="H103" t="s">
        <v>154</v>
      </c>
      <c r="I103" t="s">
        <v>155</v>
      </c>
      <c r="J103" t="s">
        <v>50</v>
      </c>
      <c r="K103" t="s">
        <v>66</v>
      </c>
      <c r="L103" t="s">
        <v>425</v>
      </c>
      <c r="M103" t="s">
        <v>59</v>
      </c>
      <c r="N103">
        <v>5</v>
      </c>
      <c r="O103">
        <v>4396.5200000000004</v>
      </c>
      <c r="P103" s="3">
        <v>0.25</v>
      </c>
      <c r="Q103">
        <v>16486.95</v>
      </c>
      <c r="R103">
        <v>12054.14</v>
      </c>
      <c r="S103">
        <v>4432.8100000000004</v>
      </c>
      <c r="T103" t="s">
        <v>41</v>
      </c>
      <c r="U103" t="s">
        <v>42</v>
      </c>
      <c r="V103" s="3">
        <f t="shared" si="9"/>
        <v>0.25</v>
      </c>
      <c r="W103">
        <f t="shared" si="10"/>
        <v>16486.95</v>
      </c>
      <c r="X103">
        <f t="shared" si="11"/>
        <v>4432.8100000000013</v>
      </c>
      <c r="Y103" s="4">
        <f t="shared" si="12"/>
        <v>0.26886780150361356</v>
      </c>
      <c r="Z103">
        <f t="shared" si="13"/>
        <v>4</v>
      </c>
      <c r="AA103">
        <f t="shared" si="14"/>
        <v>6</v>
      </c>
      <c r="AB103">
        <f t="shared" si="15"/>
        <v>2024</v>
      </c>
      <c r="AC103" t="str">
        <f t="shared" si="16"/>
        <v>Unique</v>
      </c>
      <c r="AD103" t="str">
        <f t="shared" si="17"/>
        <v>Clean</v>
      </c>
    </row>
    <row r="104" spans="1:30" x14ac:dyDescent="0.3">
      <c r="A104" t="s">
        <v>426</v>
      </c>
      <c r="B104" s="2">
        <v>45850</v>
      </c>
      <c r="C104" s="2">
        <v>45854</v>
      </c>
      <c r="D104" t="s">
        <v>427</v>
      </c>
      <c r="E104" t="s">
        <v>80</v>
      </c>
      <c r="F104" t="s">
        <v>33</v>
      </c>
      <c r="G104" t="s">
        <v>63</v>
      </c>
      <c r="H104" t="s">
        <v>184</v>
      </c>
      <c r="I104" t="s">
        <v>185</v>
      </c>
      <c r="J104" t="s">
        <v>50</v>
      </c>
      <c r="K104" t="s">
        <v>75</v>
      </c>
      <c r="L104" t="s">
        <v>428</v>
      </c>
      <c r="M104" t="s">
        <v>59</v>
      </c>
      <c r="N104">
        <v>4</v>
      </c>
      <c r="O104">
        <v>2865.71</v>
      </c>
      <c r="P104" s="3">
        <v>0</v>
      </c>
      <c r="Q104">
        <v>11462.84</v>
      </c>
      <c r="R104">
        <v>8979.7800000000007</v>
      </c>
      <c r="S104">
        <v>2483.06</v>
      </c>
      <c r="T104" t="s">
        <v>111</v>
      </c>
      <c r="U104" t="s">
        <v>77</v>
      </c>
      <c r="V104" s="3">
        <f t="shared" si="9"/>
        <v>0</v>
      </c>
      <c r="W104">
        <f t="shared" si="10"/>
        <v>11462.84</v>
      </c>
      <c r="X104">
        <f t="shared" si="11"/>
        <v>2483.0599999999995</v>
      </c>
      <c r="Y104" s="4">
        <f t="shared" si="12"/>
        <v>0.21661822026653077</v>
      </c>
      <c r="Z104">
        <f t="shared" si="13"/>
        <v>4</v>
      </c>
      <c r="AA104">
        <f t="shared" si="14"/>
        <v>7</v>
      </c>
      <c r="AB104">
        <f t="shared" si="15"/>
        <v>2025</v>
      </c>
      <c r="AC104" t="str">
        <f t="shared" si="16"/>
        <v>Unique</v>
      </c>
      <c r="AD104" t="str">
        <f t="shared" si="17"/>
        <v>Warning</v>
      </c>
    </row>
    <row r="105" spans="1:30" x14ac:dyDescent="0.3">
      <c r="A105" t="s">
        <v>429</v>
      </c>
      <c r="B105" s="2">
        <v>45779</v>
      </c>
      <c r="C105" s="2">
        <v>45787</v>
      </c>
      <c r="D105" t="s">
        <v>430</v>
      </c>
      <c r="E105" t="s">
        <v>274</v>
      </c>
      <c r="F105" t="s">
        <v>99</v>
      </c>
      <c r="G105" t="s">
        <v>72</v>
      </c>
      <c r="H105" t="s">
        <v>73</v>
      </c>
      <c r="I105" t="s">
        <v>74</v>
      </c>
      <c r="J105" t="s">
        <v>50</v>
      </c>
      <c r="K105" t="s">
        <v>51</v>
      </c>
      <c r="L105" t="s">
        <v>431</v>
      </c>
      <c r="M105" t="s">
        <v>59</v>
      </c>
      <c r="N105">
        <v>4</v>
      </c>
      <c r="O105">
        <v>2440.34</v>
      </c>
      <c r="P105" s="3">
        <v>0.2</v>
      </c>
      <c r="Q105">
        <v>7809.09</v>
      </c>
      <c r="R105">
        <v>6657.75</v>
      </c>
      <c r="S105">
        <v>1151.3399999999999</v>
      </c>
      <c r="T105" t="s">
        <v>41</v>
      </c>
      <c r="U105" t="s">
        <v>42</v>
      </c>
      <c r="V105" s="3">
        <f t="shared" si="9"/>
        <v>0.2</v>
      </c>
      <c r="W105">
        <f t="shared" si="10"/>
        <v>7809.0880000000006</v>
      </c>
      <c r="X105">
        <f t="shared" si="11"/>
        <v>1151.3380000000006</v>
      </c>
      <c r="Y105" s="4">
        <f t="shared" si="12"/>
        <v>0.14743565445798543</v>
      </c>
      <c r="Z105">
        <f t="shared" si="13"/>
        <v>8</v>
      </c>
      <c r="AA105">
        <f t="shared" si="14"/>
        <v>5</v>
      </c>
      <c r="AB105">
        <f t="shared" si="15"/>
        <v>2025</v>
      </c>
      <c r="AC105" t="str">
        <f t="shared" si="16"/>
        <v>Unique</v>
      </c>
      <c r="AD105" t="str">
        <f t="shared" si="17"/>
        <v>Clean</v>
      </c>
    </row>
    <row r="106" spans="1:30" x14ac:dyDescent="0.3">
      <c r="A106" t="s">
        <v>432</v>
      </c>
      <c r="B106" s="2">
        <v>45689</v>
      </c>
      <c r="C106" s="2">
        <v>45696</v>
      </c>
      <c r="D106" t="s">
        <v>433</v>
      </c>
      <c r="E106" t="s">
        <v>71</v>
      </c>
      <c r="F106" t="s">
        <v>33</v>
      </c>
      <c r="G106" t="s">
        <v>63</v>
      </c>
      <c r="H106" t="s">
        <v>184</v>
      </c>
      <c r="I106" t="s">
        <v>185</v>
      </c>
      <c r="J106" t="s">
        <v>37</v>
      </c>
      <c r="K106" t="s">
        <v>100</v>
      </c>
      <c r="L106" t="s">
        <v>434</v>
      </c>
      <c r="M106" t="s">
        <v>53</v>
      </c>
      <c r="N106">
        <v>5</v>
      </c>
      <c r="O106">
        <v>2112.54</v>
      </c>
      <c r="P106" s="3">
        <v>0.25</v>
      </c>
      <c r="Q106">
        <v>8260.4599999999991</v>
      </c>
      <c r="R106">
        <v>5619.95</v>
      </c>
      <c r="S106">
        <v>2302.08</v>
      </c>
      <c r="T106" t="s">
        <v>41</v>
      </c>
      <c r="U106" t="s">
        <v>77</v>
      </c>
      <c r="V106" s="3">
        <f t="shared" si="9"/>
        <v>0.25</v>
      </c>
      <c r="W106">
        <f t="shared" si="10"/>
        <v>7922.0250000000005</v>
      </c>
      <c r="X106">
        <f t="shared" si="11"/>
        <v>2302.0750000000007</v>
      </c>
      <c r="Y106" s="4">
        <f t="shared" si="12"/>
        <v>0.29059173633004193</v>
      </c>
      <c r="Z106">
        <f t="shared" si="13"/>
        <v>7</v>
      </c>
      <c r="AA106">
        <f t="shared" si="14"/>
        <v>2</v>
      </c>
      <c r="AB106">
        <f t="shared" si="15"/>
        <v>2025</v>
      </c>
      <c r="AC106" t="str">
        <f t="shared" si="16"/>
        <v>Unique</v>
      </c>
      <c r="AD106" t="str">
        <f t="shared" si="17"/>
        <v>Warning</v>
      </c>
    </row>
    <row r="107" spans="1:30" x14ac:dyDescent="0.3">
      <c r="A107" t="s">
        <v>435</v>
      </c>
      <c r="B107" s="2">
        <v>45467</v>
      </c>
      <c r="C107" s="2">
        <v>45472</v>
      </c>
      <c r="D107" t="s">
        <v>436</v>
      </c>
      <c r="E107" t="s">
        <v>45</v>
      </c>
      <c r="F107" t="s">
        <v>104</v>
      </c>
      <c r="G107" t="s">
        <v>47</v>
      </c>
      <c r="H107" t="s">
        <v>108</v>
      </c>
      <c r="I107" t="s">
        <v>109</v>
      </c>
      <c r="J107" t="s">
        <v>50</v>
      </c>
      <c r="K107" t="s">
        <v>51</v>
      </c>
      <c r="L107" t="s">
        <v>437</v>
      </c>
      <c r="M107" t="s">
        <v>40</v>
      </c>
      <c r="N107">
        <v>2</v>
      </c>
      <c r="O107">
        <v>685</v>
      </c>
      <c r="P107" s="3">
        <v>0.1</v>
      </c>
      <c r="Q107">
        <v>1233</v>
      </c>
      <c r="R107">
        <v>1006.9</v>
      </c>
      <c r="S107">
        <v>226.1</v>
      </c>
      <c r="T107" t="s">
        <v>41</v>
      </c>
      <c r="U107" t="s">
        <v>42</v>
      </c>
      <c r="V107" s="3">
        <f t="shared" si="9"/>
        <v>0.1</v>
      </c>
      <c r="W107">
        <f t="shared" si="10"/>
        <v>1233</v>
      </c>
      <c r="X107">
        <f t="shared" si="11"/>
        <v>226.10000000000002</v>
      </c>
      <c r="Y107" s="4">
        <f t="shared" si="12"/>
        <v>0.18337388483373887</v>
      </c>
      <c r="Z107">
        <f t="shared" si="13"/>
        <v>5</v>
      </c>
      <c r="AA107">
        <f t="shared" si="14"/>
        <v>6</v>
      </c>
      <c r="AB107">
        <f t="shared" si="15"/>
        <v>2024</v>
      </c>
      <c r="AC107" t="str">
        <f t="shared" si="16"/>
        <v>Unique</v>
      </c>
      <c r="AD107" t="str">
        <f t="shared" si="17"/>
        <v>Clean</v>
      </c>
    </row>
    <row r="108" spans="1:30" x14ac:dyDescent="0.3">
      <c r="A108" t="s">
        <v>438</v>
      </c>
      <c r="B108" s="2">
        <v>45342</v>
      </c>
      <c r="C108" s="2">
        <v>45350</v>
      </c>
      <c r="D108" t="s">
        <v>439</v>
      </c>
      <c r="E108" t="s">
        <v>62</v>
      </c>
      <c r="F108" t="s">
        <v>104</v>
      </c>
      <c r="G108" t="s">
        <v>47</v>
      </c>
      <c r="H108" t="s">
        <v>108</v>
      </c>
      <c r="I108" t="s">
        <v>109</v>
      </c>
      <c r="J108" t="s">
        <v>37</v>
      </c>
      <c r="K108" t="s">
        <v>38</v>
      </c>
      <c r="L108" t="s">
        <v>440</v>
      </c>
      <c r="M108" t="s">
        <v>68</v>
      </c>
      <c r="N108">
        <v>2</v>
      </c>
      <c r="O108">
        <v>4004.04</v>
      </c>
      <c r="P108" s="3"/>
      <c r="Q108">
        <v>7207.27</v>
      </c>
      <c r="R108">
        <v>5709.39</v>
      </c>
      <c r="S108">
        <v>1497.88</v>
      </c>
      <c r="T108" t="s">
        <v>41</v>
      </c>
      <c r="U108" t="s">
        <v>77</v>
      </c>
      <c r="V108" s="3">
        <f t="shared" si="9"/>
        <v>0</v>
      </c>
      <c r="W108">
        <f t="shared" si="10"/>
        <v>8008.08</v>
      </c>
      <c r="X108">
        <f t="shared" si="11"/>
        <v>2298.6899999999996</v>
      </c>
      <c r="Y108" s="4">
        <f t="shared" si="12"/>
        <v>0.28704633320346445</v>
      </c>
      <c r="Z108">
        <f t="shared" si="13"/>
        <v>8</v>
      </c>
      <c r="AA108">
        <f t="shared" si="14"/>
        <v>2</v>
      </c>
      <c r="AB108">
        <f t="shared" si="15"/>
        <v>2024</v>
      </c>
      <c r="AC108" t="str">
        <f t="shared" si="16"/>
        <v>Unique</v>
      </c>
      <c r="AD108" t="str">
        <f t="shared" si="17"/>
        <v>Warning</v>
      </c>
    </row>
    <row r="109" spans="1:30" x14ac:dyDescent="0.3">
      <c r="A109" t="s">
        <v>441</v>
      </c>
      <c r="B109" s="2">
        <v>45594</v>
      </c>
      <c r="C109" s="2">
        <v>45600</v>
      </c>
      <c r="D109" t="s">
        <v>442</v>
      </c>
      <c r="E109" t="s">
        <v>150</v>
      </c>
      <c r="F109" t="s">
        <v>104</v>
      </c>
      <c r="G109" t="s">
        <v>47</v>
      </c>
      <c r="H109" t="s">
        <v>108</v>
      </c>
      <c r="I109" t="s">
        <v>109</v>
      </c>
      <c r="J109" t="s">
        <v>50</v>
      </c>
      <c r="K109" t="s">
        <v>66</v>
      </c>
      <c r="L109" t="s">
        <v>443</v>
      </c>
      <c r="M109" t="s">
        <v>59</v>
      </c>
      <c r="N109">
        <v>3</v>
      </c>
      <c r="O109">
        <v>4302.8900000000003</v>
      </c>
      <c r="P109" s="3">
        <v>0.05</v>
      </c>
      <c r="Q109">
        <v>12263.24</v>
      </c>
      <c r="R109">
        <v>8925.57</v>
      </c>
      <c r="S109">
        <v>3337.67</v>
      </c>
      <c r="T109" t="s">
        <v>41</v>
      </c>
      <c r="U109" t="s">
        <v>42</v>
      </c>
      <c r="V109" s="3">
        <f t="shared" si="9"/>
        <v>0.05</v>
      </c>
      <c r="W109">
        <f t="shared" si="10"/>
        <v>12263.236500000001</v>
      </c>
      <c r="X109">
        <f t="shared" si="11"/>
        <v>3337.6665000000012</v>
      </c>
      <c r="Y109" s="4">
        <f t="shared" si="12"/>
        <v>0.27216848504878799</v>
      </c>
      <c r="Z109">
        <f t="shared" si="13"/>
        <v>6</v>
      </c>
      <c r="AA109">
        <f t="shared" si="14"/>
        <v>10</v>
      </c>
      <c r="AB109">
        <f t="shared" si="15"/>
        <v>2024</v>
      </c>
      <c r="AC109" t="str">
        <f t="shared" si="16"/>
        <v>Unique</v>
      </c>
      <c r="AD109" t="str">
        <f t="shared" si="17"/>
        <v>Clean</v>
      </c>
    </row>
    <row r="110" spans="1:30" x14ac:dyDescent="0.3">
      <c r="A110" t="s">
        <v>444</v>
      </c>
      <c r="B110" s="2">
        <v>45519</v>
      </c>
      <c r="C110" s="2">
        <v>45527</v>
      </c>
      <c r="D110" t="s">
        <v>445</v>
      </c>
      <c r="E110" t="s">
        <v>98</v>
      </c>
      <c r="F110" t="s">
        <v>46</v>
      </c>
      <c r="G110" t="s">
        <v>47</v>
      </c>
      <c r="H110" t="s">
        <v>48</v>
      </c>
      <c r="I110" t="s">
        <v>49</v>
      </c>
      <c r="J110" t="s">
        <v>50</v>
      </c>
      <c r="K110" t="s">
        <v>167</v>
      </c>
      <c r="L110" t="s">
        <v>446</v>
      </c>
      <c r="M110" t="s">
        <v>53</v>
      </c>
      <c r="N110">
        <v>2</v>
      </c>
      <c r="O110">
        <v>537.54</v>
      </c>
      <c r="P110" s="3">
        <v>0.25</v>
      </c>
      <c r="Q110">
        <v>806.31</v>
      </c>
      <c r="R110">
        <v>498.5</v>
      </c>
      <c r="S110">
        <v>307.81</v>
      </c>
      <c r="T110" t="s">
        <v>41</v>
      </c>
      <c r="U110" t="s">
        <v>42</v>
      </c>
      <c r="V110" s="3">
        <f t="shared" si="9"/>
        <v>0.25</v>
      </c>
      <c r="W110">
        <f t="shared" si="10"/>
        <v>806.31</v>
      </c>
      <c r="X110">
        <f t="shared" si="11"/>
        <v>307.80999999999995</v>
      </c>
      <c r="Y110" s="4">
        <f t="shared" si="12"/>
        <v>0.38175143555208291</v>
      </c>
      <c r="Z110">
        <f t="shared" si="13"/>
        <v>8</v>
      </c>
      <c r="AA110">
        <f t="shared" si="14"/>
        <v>8</v>
      </c>
      <c r="AB110">
        <f t="shared" si="15"/>
        <v>2024</v>
      </c>
      <c r="AC110" t="str">
        <f t="shared" si="16"/>
        <v>Unique</v>
      </c>
      <c r="AD110" t="str">
        <f t="shared" si="17"/>
        <v>Clean</v>
      </c>
    </row>
    <row r="111" spans="1:30" x14ac:dyDescent="0.3">
      <c r="A111" t="s">
        <v>447</v>
      </c>
      <c r="B111" s="2">
        <v>45892</v>
      </c>
      <c r="C111" s="2">
        <v>45896</v>
      </c>
      <c r="D111" t="s">
        <v>448</v>
      </c>
      <c r="E111" t="s">
        <v>141</v>
      </c>
      <c r="F111" t="s">
        <v>33</v>
      </c>
      <c r="G111" t="s">
        <v>34</v>
      </c>
      <c r="H111" t="s">
        <v>360</v>
      </c>
      <c r="I111" t="s">
        <v>361</v>
      </c>
      <c r="J111" t="s">
        <v>37</v>
      </c>
      <c r="K111" t="s">
        <v>162</v>
      </c>
      <c r="L111" t="s">
        <v>449</v>
      </c>
      <c r="M111" t="s">
        <v>40</v>
      </c>
      <c r="N111">
        <v>1</v>
      </c>
      <c r="O111">
        <v>2788.62</v>
      </c>
      <c r="P111" s="3">
        <v>0.25</v>
      </c>
      <c r="Q111">
        <v>2091.4699999999998</v>
      </c>
      <c r="R111">
        <v>1317.22</v>
      </c>
      <c r="S111">
        <v>774.25</v>
      </c>
      <c r="T111" t="s">
        <v>41</v>
      </c>
      <c r="U111" t="s">
        <v>42</v>
      </c>
      <c r="V111" s="3">
        <f t="shared" si="9"/>
        <v>0.25</v>
      </c>
      <c r="W111">
        <f t="shared" si="10"/>
        <v>2091.4650000000001</v>
      </c>
      <c r="X111">
        <f t="shared" si="11"/>
        <v>774.24500000000012</v>
      </c>
      <c r="Y111" s="4">
        <f t="shared" si="12"/>
        <v>0.37019266399389905</v>
      </c>
      <c r="Z111">
        <f t="shared" si="13"/>
        <v>4</v>
      </c>
      <c r="AA111">
        <f t="shared" si="14"/>
        <v>8</v>
      </c>
      <c r="AB111">
        <f t="shared" si="15"/>
        <v>2025</v>
      </c>
      <c r="AC111" t="str">
        <f t="shared" si="16"/>
        <v>Unique</v>
      </c>
      <c r="AD111" t="str">
        <f t="shared" si="17"/>
        <v>Clean</v>
      </c>
    </row>
    <row r="112" spans="1:30" x14ac:dyDescent="0.3">
      <c r="A112" t="s">
        <v>450</v>
      </c>
      <c r="B112" s="2">
        <v>45583</v>
      </c>
      <c r="C112" s="2">
        <v>45589</v>
      </c>
      <c r="D112" t="s">
        <v>451</v>
      </c>
      <c r="E112" t="s">
        <v>80</v>
      </c>
      <c r="F112" t="s">
        <v>99</v>
      </c>
      <c r="G112" t="s">
        <v>63</v>
      </c>
      <c r="H112" t="s">
        <v>194</v>
      </c>
      <c r="I112" t="s">
        <v>195</v>
      </c>
      <c r="J112" t="s">
        <v>37</v>
      </c>
      <c r="K112" t="s">
        <v>100</v>
      </c>
      <c r="L112" t="s">
        <v>452</v>
      </c>
      <c r="M112" t="s">
        <v>59</v>
      </c>
      <c r="N112">
        <v>2</v>
      </c>
      <c r="O112">
        <v>2250.4699999999998</v>
      </c>
      <c r="P112" s="3">
        <v>0</v>
      </c>
      <c r="Q112">
        <v>4500.9399999999996</v>
      </c>
      <c r="R112">
        <v>2607.73</v>
      </c>
      <c r="S112">
        <v>1893.21</v>
      </c>
      <c r="T112" t="s">
        <v>111</v>
      </c>
      <c r="U112" t="s">
        <v>77</v>
      </c>
      <c r="V112" s="3">
        <f t="shared" si="9"/>
        <v>0</v>
      </c>
      <c r="W112">
        <f t="shared" si="10"/>
        <v>4500.9399999999996</v>
      </c>
      <c r="X112">
        <f t="shared" si="11"/>
        <v>1893.2099999999996</v>
      </c>
      <c r="Y112" s="4">
        <f t="shared" si="12"/>
        <v>0.42062546934640316</v>
      </c>
      <c r="Z112">
        <f t="shared" si="13"/>
        <v>6</v>
      </c>
      <c r="AA112">
        <f t="shared" si="14"/>
        <v>10</v>
      </c>
      <c r="AB112">
        <f t="shared" si="15"/>
        <v>2024</v>
      </c>
      <c r="AC112" t="str">
        <f t="shared" si="16"/>
        <v>Unique</v>
      </c>
      <c r="AD112" t="str">
        <f t="shared" si="17"/>
        <v>Warning</v>
      </c>
    </row>
    <row r="113" spans="1:30" x14ac:dyDescent="0.3">
      <c r="A113" t="s">
        <v>453</v>
      </c>
      <c r="B113" s="2">
        <v>45835</v>
      </c>
      <c r="C113" s="2">
        <v>45838</v>
      </c>
      <c r="D113" t="s">
        <v>454</v>
      </c>
      <c r="E113" t="s">
        <v>88</v>
      </c>
      <c r="F113" t="s">
        <v>99</v>
      </c>
      <c r="G113" t="s">
        <v>47</v>
      </c>
      <c r="H113" t="s">
        <v>154</v>
      </c>
      <c r="I113" t="s">
        <v>155</v>
      </c>
      <c r="J113" t="s">
        <v>83</v>
      </c>
      <c r="K113" t="s">
        <v>84</v>
      </c>
      <c r="L113" t="s">
        <v>455</v>
      </c>
      <c r="M113" t="s">
        <v>59</v>
      </c>
      <c r="N113">
        <v>1</v>
      </c>
      <c r="O113">
        <v>1708.44</v>
      </c>
      <c r="P113" s="3">
        <v>0.05</v>
      </c>
      <c r="Q113">
        <v>1623.02</v>
      </c>
      <c r="R113">
        <v>1077.46</v>
      </c>
      <c r="S113">
        <v>545.55999999999995</v>
      </c>
      <c r="T113" t="s">
        <v>120</v>
      </c>
      <c r="U113" t="s">
        <v>77</v>
      </c>
      <c r="V113" s="3">
        <f t="shared" si="9"/>
        <v>0.05</v>
      </c>
      <c r="W113">
        <f t="shared" si="10"/>
        <v>1623.018</v>
      </c>
      <c r="X113">
        <f t="shared" si="11"/>
        <v>545.55799999999999</v>
      </c>
      <c r="Y113" s="4">
        <f t="shared" si="12"/>
        <v>0.3361379849145234</v>
      </c>
      <c r="Z113">
        <f t="shared" si="13"/>
        <v>3</v>
      </c>
      <c r="AA113">
        <f t="shared" si="14"/>
        <v>6</v>
      </c>
      <c r="AB113">
        <f t="shared" si="15"/>
        <v>2025</v>
      </c>
      <c r="AC113" t="str">
        <f t="shared" si="16"/>
        <v>Unique</v>
      </c>
      <c r="AD113" t="str">
        <f t="shared" si="17"/>
        <v>Warning</v>
      </c>
    </row>
    <row r="114" spans="1:30" x14ac:dyDescent="0.3">
      <c r="A114" t="s">
        <v>456</v>
      </c>
      <c r="B114" s="2">
        <v>45301</v>
      </c>
      <c r="C114" s="2">
        <v>45305</v>
      </c>
      <c r="D114" t="s">
        <v>457</v>
      </c>
      <c r="E114" t="s">
        <v>141</v>
      </c>
      <c r="F114" t="s">
        <v>33</v>
      </c>
      <c r="G114" t="s">
        <v>214</v>
      </c>
      <c r="H114" t="s">
        <v>189</v>
      </c>
      <c r="I114" t="s">
        <v>190</v>
      </c>
      <c r="J114" t="s">
        <v>83</v>
      </c>
      <c r="K114" t="s">
        <v>84</v>
      </c>
      <c r="L114" t="s">
        <v>458</v>
      </c>
      <c r="M114" t="s">
        <v>68</v>
      </c>
      <c r="N114">
        <v>3</v>
      </c>
      <c r="O114">
        <v>3829.48</v>
      </c>
      <c r="P114" s="3">
        <v>0.05</v>
      </c>
      <c r="Q114">
        <v>10914.02</v>
      </c>
      <c r="R114">
        <v>6548.74</v>
      </c>
      <c r="S114">
        <v>4365.28</v>
      </c>
      <c r="T114" t="s">
        <v>41</v>
      </c>
      <c r="U114" t="s">
        <v>42</v>
      </c>
      <c r="V114" s="3">
        <f t="shared" si="9"/>
        <v>0.05</v>
      </c>
      <c r="W114">
        <f t="shared" si="10"/>
        <v>10914.018</v>
      </c>
      <c r="X114">
        <f t="shared" si="11"/>
        <v>4365.2780000000002</v>
      </c>
      <c r="Y114" s="4">
        <f t="shared" si="12"/>
        <v>0.39996983695647198</v>
      </c>
      <c r="Z114">
        <f t="shared" si="13"/>
        <v>4</v>
      </c>
      <c r="AA114">
        <f t="shared" si="14"/>
        <v>1</v>
      </c>
      <c r="AB114">
        <f t="shared" si="15"/>
        <v>2024</v>
      </c>
      <c r="AC114" t="str">
        <f t="shared" si="16"/>
        <v>Unique</v>
      </c>
      <c r="AD114" t="str">
        <f t="shared" si="17"/>
        <v>Warning</v>
      </c>
    </row>
    <row r="115" spans="1:30" x14ac:dyDescent="0.3">
      <c r="A115" t="s">
        <v>459</v>
      </c>
      <c r="B115" s="2">
        <v>45334</v>
      </c>
      <c r="C115" s="2">
        <v>45334</v>
      </c>
      <c r="D115" t="s">
        <v>370</v>
      </c>
      <c r="E115" t="s">
        <v>56</v>
      </c>
      <c r="F115" t="s">
        <v>104</v>
      </c>
      <c r="G115" t="s">
        <v>63</v>
      </c>
      <c r="H115" t="s">
        <v>257</v>
      </c>
      <c r="I115" t="s">
        <v>258</v>
      </c>
      <c r="J115" t="s">
        <v>50</v>
      </c>
      <c r="K115" t="s">
        <v>51</v>
      </c>
      <c r="L115" t="s">
        <v>460</v>
      </c>
      <c r="M115" t="s">
        <v>68</v>
      </c>
      <c r="N115">
        <v>3</v>
      </c>
      <c r="O115">
        <v>1089.1500000000001</v>
      </c>
      <c r="P115" s="3">
        <v>0.25</v>
      </c>
      <c r="Q115">
        <v>2450.59</v>
      </c>
      <c r="R115">
        <v>1639.89</v>
      </c>
      <c r="S115">
        <v>810.7</v>
      </c>
      <c r="T115" t="s">
        <v>41</v>
      </c>
      <c r="U115" t="s">
        <v>42</v>
      </c>
      <c r="V115" s="3">
        <f t="shared" si="9"/>
        <v>0.25</v>
      </c>
      <c r="W115">
        <f t="shared" si="10"/>
        <v>2450.5875000000001</v>
      </c>
      <c r="X115">
        <f t="shared" si="11"/>
        <v>810.69749999999999</v>
      </c>
      <c r="Y115" s="4">
        <f t="shared" si="12"/>
        <v>0.33081761006289306</v>
      </c>
      <c r="Z115">
        <f t="shared" si="13"/>
        <v>0</v>
      </c>
      <c r="AA115">
        <f t="shared" si="14"/>
        <v>2</v>
      </c>
      <c r="AB115">
        <f t="shared" si="15"/>
        <v>2024</v>
      </c>
      <c r="AC115" t="str">
        <f t="shared" si="16"/>
        <v>Unique</v>
      </c>
      <c r="AD115" t="str">
        <f t="shared" si="17"/>
        <v>Clean</v>
      </c>
    </row>
    <row r="116" spans="1:30" x14ac:dyDescent="0.3">
      <c r="A116" t="s">
        <v>461</v>
      </c>
      <c r="B116" s="2">
        <v>45560</v>
      </c>
      <c r="C116" s="2">
        <v>45565</v>
      </c>
      <c r="D116" t="s">
        <v>462</v>
      </c>
      <c r="E116" t="s">
        <v>88</v>
      </c>
      <c r="F116" t="s">
        <v>46</v>
      </c>
      <c r="G116" t="s">
        <v>34</v>
      </c>
      <c r="H116" t="s">
        <v>35</v>
      </c>
      <c r="I116" t="s">
        <v>36</v>
      </c>
      <c r="J116" t="s">
        <v>83</v>
      </c>
      <c r="K116" t="s">
        <v>84</v>
      </c>
      <c r="L116" t="s">
        <v>463</v>
      </c>
      <c r="M116" t="s">
        <v>40</v>
      </c>
      <c r="N116">
        <v>1</v>
      </c>
      <c r="O116">
        <v>4388.3999999999996</v>
      </c>
      <c r="P116" s="3">
        <v>0.1</v>
      </c>
      <c r="Q116">
        <v>3949.56</v>
      </c>
      <c r="R116">
        <v>3186.73</v>
      </c>
      <c r="S116">
        <v>762.83</v>
      </c>
      <c r="T116" t="s">
        <v>120</v>
      </c>
      <c r="U116" t="s">
        <v>77</v>
      </c>
      <c r="V116" s="3">
        <f t="shared" si="9"/>
        <v>0.1</v>
      </c>
      <c r="W116">
        <f t="shared" si="10"/>
        <v>3949.56</v>
      </c>
      <c r="X116">
        <f t="shared" si="11"/>
        <v>762.82999999999993</v>
      </c>
      <c r="Y116" s="4">
        <f t="shared" si="12"/>
        <v>0.19314303365438173</v>
      </c>
      <c r="Z116">
        <f t="shared" si="13"/>
        <v>5</v>
      </c>
      <c r="AA116">
        <f t="shared" si="14"/>
        <v>9</v>
      </c>
      <c r="AB116">
        <f t="shared" si="15"/>
        <v>2024</v>
      </c>
      <c r="AC116" t="str">
        <f t="shared" si="16"/>
        <v>Unique</v>
      </c>
      <c r="AD116" t="str">
        <f t="shared" si="17"/>
        <v>Warning</v>
      </c>
    </row>
    <row r="117" spans="1:30" x14ac:dyDescent="0.3">
      <c r="A117" t="s">
        <v>464</v>
      </c>
      <c r="B117" s="2">
        <v>45653</v>
      </c>
      <c r="C117" s="2">
        <v>45658</v>
      </c>
      <c r="D117" t="s">
        <v>465</v>
      </c>
      <c r="E117" t="s">
        <v>274</v>
      </c>
      <c r="F117" t="s">
        <v>99</v>
      </c>
      <c r="G117" t="s">
        <v>63</v>
      </c>
      <c r="H117" t="s">
        <v>257</v>
      </c>
      <c r="I117" t="s">
        <v>258</v>
      </c>
      <c r="J117" t="s">
        <v>37</v>
      </c>
      <c r="K117" t="s">
        <v>162</v>
      </c>
      <c r="L117" t="s">
        <v>466</v>
      </c>
      <c r="M117" t="s">
        <v>53</v>
      </c>
      <c r="N117">
        <v>2</v>
      </c>
      <c r="O117">
        <v>446.34</v>
      </c>
      <c r="P117" s="3">
        <v>0.15</v>
      </c>
      <c r="Q117">
        <v>758.78</v>
      </c>
      <c r="R117">
        <v>490.74</v>
      </c>
      <c r="S117">
        <v>268.04000000000002</v>
      </c>
      <c r="T117" t="s">
        <v>41</v>
      </c>
      <c r="U117" t="s">
        <v>77</v>
      </c>
      <c r="V117" s="3">
        <f t="shared" si="9"/>
        <v>0.15</v>
      </c>
      <c r="W117">
        <f t="shared" si="10"/>
        <v>758.77799999999991</v>
      </c>
      <c r="X117">
        <f t="shared" si="11"/>
        <v>268.0379999999999</v>
      </c>
      <c r="Y117" s="4">
        <f t="shared" si="12"/>
        <v>0.35324956706704719</v>
      </c>
      <c r="Z117">
        <f t="shared" si="13"/>
        <v>5</v>
      </c>
      <c r="AA117">
        <f t="shared" si="14"/>
        <v>12</v>
      </c>
      <c r="AB117">
        <f t="shared" si="15"/>
        <v>2024</v>
      </c>
      <c r="AC117" t="str">
        <f t="shared" si="16"/>
        <v>Unique</v>
      </c>
      <c r="AD117" t="str">
        <f t="shared" si="17"/>
        <v>Warning</v>
      </c>
    </row>
    <row r="118" spans="1:30" x14ac:dyDescent="0.3">
      <c r="A118" t="s">
        <v>467</v>
      </c>
      <c r="B118" s="2">
        <v>45703</v>
      </c>
      <c r="C118" s="2">
        <v>45707</v>
      </c>
      <c r="D118" t="s">
        <v>468</v>
      </c>
      <c r="E118" t="s">
        <v>71</v>
      </c>
      <c r="F118" t="s">
        <v>46</v>
      </c>
      <c r="G118" t="s">
        <v>214</v>
      </c>
      <c r="H118" t="s">
        <v>81</v>
      </c>
      <c r="I118" t="s">
        <v>82</v>
      </c>
      <c r="J118" t="s">
        <v>37</v>
      </c>
      <c r="K118" t="s">
        <v>162</v>
      </c>
      <c r="L118" t="s">
        <v>469</v>
      </c>
      <c r="M118" t="s">
        <v>59</v>
      </c>
      <c r="N118">
        <v>9</v>
      </c>
      <c r="O118">
        <v>531.99</v>
      </c>
      <c r="P118" s="3">
        <v>0.25</v>
      </c>
      <c r="Q118">
        <v>3590.93</v>
      </c>
      <c r="R118">
        <v>3061.39</v>
      </c>
      <c r="S118">
        <v>529.54</v>
      </c>
      <c r="T118" t="s">
        <v>164</v>
      </c>
      <c r="U118" t="s">
        <v>77</v>
      </c>
      <c r="V118" s="3">
        <f t="shared" si="9"/>
        <v>0.25</v>
      </c>
      <c r="W118">
        <f t="shared" si="10"/>
        <v>3590.9324999999999</v>
      </c>
      <c r="X118">
        <f t="shared" si="11"/>
        <v>529.54250000000002</v>
      </c>
      <c r="Y118" s="4">
        <f t="shared" si="12"/>
        <v>0.14746657031286442</v>
      </c>
      <c r="Z118">
        <f t="shared" si="13"/>
        <v>4</v>
      </c>
      <c r="AA118">
        <f t="shared" si="14"/>
        <v>2</v>
      </c>
      <c r="AB118">
        <f t="shared" si="15"/>
        <v>2025</v>
      </c>
      <c r="AC118" t="str">
        <f t="shared" si="16"/>
        <v>Unique</v>
      </c>
      <c r="AD118" t="str">
        <f t="shared" si="17"/>
        <v>Warning</v>
      </c>
    </row>
    <row r="119" spans="1:30" x14ac:dyDescent="0.3">
      <c r="A119" t="s">
        <v>470</v>
      </c>
      <c r="B119" s="2">
        <v>45337</v>
      </c>
      <c r="C119" s="2">
        <v>45339</v>
      </c>
      <c r="D119" t="s">
        <v>471</v>
      </c>
      <c r="E119" t="s">
        <v>45</v>
      </c>
      <c r="F119" t="s">
        <v>104</v>
      </c>
      <c r="G119" t="s">
        <v>63</v>
      </c>
      <c r="H119" t="s">
        <v>257</v>
      </c>
      <c r="I119" t="s">
        <v>258</v>
      </c>
      <c r="J119" t="s">
        <v>83</v>
      </c>
      <c r="K119" t="s">
        <v>284</v>
      </c>
      <c r="L119" t="s">
        <v>472</v>
      </c>
      <c r="M119" t="s">
        <v>68</v>
      </c>
      <c r="N119">
        <v>9</v>
      </c>
      <c r="O119">
        <v>3324.55</v>
      </c>
      <c r="P119" s="3" t="s">
        <v>473</v>
      </c>
      <c r="Q119">
        <v>25432.81</v>
      </c>
      <c r="R119">
        <v>20370.16</v>
      </c>
      <c r="S119">
        <v>5062.6499999999996</v>
      </c>
      <c r="T119" t="s">
        <v>41</v>
      </c>
      <c r="U119" t="s">
        <v>42</v>
      </c>
      <c r="V119" s="3">
        <f t="shared" si="9"/>
        <v>0.7</v>
      </c>
      <c r="W119">
        <f t="shared" si="10"/>
        <v>8976.2850000000017</v>
      </c>
      <c r="X119">
        <f t="shared" si="11"/>
        <v>-11393.874999999998</v>
      </c>
      <c r="Y119" s="4">
        <f t="shared" si="12"/>
        <v>-1.2693307977632167</v>
      </c>
      <c r="Z119">
        <f t="shared" si="13"/>
        <v>2</v>
      </c>
      <c r="AA119">
        <f t="shared" si="14"/>
        <v>2</v>
      </c>
      <c r="AB119">
        <f t="shared" si="15"/>
        <v>2024</v>
      </c>
      <c r="AC119" t="str">
        <f t="shared" si="16"/>
        <v>Unique</v>
      </c>
      <c r="AD119" t="str">
        <f t="shared" si="17"/>
        <v>Invalid</v>
      </c>
    </row>
    <row r="120" spans="1:30" x14ac:dyDescent="0.3">
      <c r="A120" t="s">
        <v>474</v>
      </c>
      <c r="B120" s="2">
        <v>45453</v>
      </c>
      <c r="C120" s="2">
        <v>45461</v>
      </c>
      <c r="D120" t="s">
        <v>475</v>
      </c>
      <c r="E120" t="s">
        <v>80</v>
      </c>
      <c r="F120" t="s">
        <v>104</v>
      </c>
      <c r="G120" t="s">
        <v>63</v>
      </c>
      <c r="H120" t="s">
        <v>93</v>
      </c>
      <c r="I120" t="s">
        <v>94</v>
      </c>
      <c r="J120" t="s">
        <v>83</v>
      </c>
      <c r="K120" t="s">
        <v>89</v>
      </c>
      <c r="L120" t="s">
        <v>476</v>
      </c>
      <c r="M120" t="s">
        <v>53</v>
      </c>
      <c r="N120">
        <v>5</v>
      </c>
      <c r="O120">
        <v>1580.27</v>
      </c>
      <c r="P120" s="3">
        <v>0.2</v>
      </c>
      <c r="Q120">
        <v>6321.08</v>
      </c>
      <c r="R120">
        <v>4407.22</v>
      </c>
      <c r="S120">
        <v>1913.86</v>
      </c>
      <c r="T120" t="s">
        <v>41</v>
      </c>
      <c r="U120" t="s">
        <v>42</v>
      </c>
      <c r="V120" s="3">
        <f t="shared" si="9"/>
        <v>0.2</v>
      </c>
      <c r="W120">
        <f t="shared" si="10"/>
        <v>6321.0800000000008</v>
      </c>
      <c r="X120">
        <f t="shared" si="11"/>
        <v>1913.8600000000006</v>
      </c>
      <c r="Y120" s="4">
        <f t="shared" si="12"/>
        <v>0.30277420947053357</v>
      </c>
      <c r="Z120">
        <f t="shared" si="13"/>
        <v>8</v>
      </c>
      <c r="AA120">
        <f t="shared" si="14"/>
        <v>6</v>
      </c>
      <c r="AB120">
        <f t="shared" si="15"/>
        <v>2024</v>
      </c>
      <c r="AC120" t="str">
        <f t="shared" si="16"/>
        <v>Unique</v>
      </c>
      <c r="AD120" t="str">
        <f t="shared" si="17"/>
        <v>Clean</v>
      </c>
    </row>
    <row r="121" spans="1:30" x14ac:dyDescent="0.3">
      <c r="A121" t="s">
        <v>477</v>
      </c>
      <c r="B121" s="2">
        <v>45455</v>
      </c>
      <c r="C121" s="2">
        <v>45462</v>
      </c>
      <c r="D121" t="s">
        <v>478</v>
      </c>
      <c r="E121" t="s">
        <v>98</v>
      </c>
      <c r="F121" t="s">
        <v>46</v>
      </c>
      <c r="G121" t="s">
        <v>63</v>
      </c>
      <c r="H121" t="s">
        <v>194</v>
      </c>
      <c r="I121" t="s">
        <v>195</v>
      </c>
      <c r="J121" t="s">
        <v>50</v>
      </c>
      <c r="K121" t="s">
        <v>75</v>
      </c>
      <c r="L121" t="s">
        <v>479</v>
      </c>
      <c r="M121" t="s">
        <v>68</v>
      </c>
      <c r="N121">
        <v>8</v>
      </c>
      <c r="O121">
        <v>314.05</v>
      </c>
      <c r="P121" s="3">
        <v>0.25</v>
      </c>
      <c r="Q121">
        <v>1884.3</v>
      </c>
      <c r="R121">
        <v>1517.69</v>
      </c>
      <c r="S121">
        <v>366.61</v>
      </c>
      <c r="T121" t="s">
        <v>111</v>
      </c>
      <c r="U121" t="s">
        <v>112</v>
      </c>
      <c r="V121" s="3">
        <f t="shared" si="9"/>
        <v>0.25</v>
      </c>
      <c r="W121">
        <f t="shared" si="10"/>
        <v>1884.3000000000002</v>
      </c>
      <c r="X121">
        <f t="shared" si="11"/>
        <v>366.61000000000013</v>
      </c>
      <c r="Y121" s="4">
        <f t="shared" si="12"/>
        <v>0.19456031417502526</v>
      </c>
      <c r="Z121">
        <f t="shared" si="13"/>
        <v>7</v>
      </c>
      <c r="AA121">
        <f t="shared" si="14"/>
        <v>6</v>
      </c>
      <c r="AB121">
        <f t="shared" si="15"/>
        <v>2024</v>
      </c>
      <c r="AC121" t="str">
        <f t="shared" si="16"/>
        <v>Unique</v>
      </c>
      <c r="AD121" t="str">
        <f t="shared" si="17"/>
        <v>Clean</v>
      </c>
    </row>
    <row r="122" spans="1:30" x14ac:dyDescent="0.3">
      <c r="A122" t="s">
        <v>480</v>
      </c>
      <c r="B122" s="2">
        <v>45514</v>
      </c>
      <c r="C122" s="2">
        <v>45522</v>
      </c>
      <c r="D122" t="s">
        <v>481</v>
      </c>
      <c r="E122" t="s">
        <v>141</v>
      </c>
      <c r="F122" t="s">
        <v>46</v>
      </c>
      <c r="G122" t="s">
        <v>47</v>
      </c>
      <c r="H122" t="s">
        <v>154</v>
      </c>
      <c r="I122" t="s">
        <v>155</v>
      </c>
      <c r="J122" t="s">
        <v>83</v>
      </c>
      <c r="K122" t="s">
        <v>180</v>
      </c>
      <c r="L122" t="s">
        <v>482</v>
      </c>
      <c r="M122" t="s">
        <v>68</v>
      </c>
      <c r="N122">
        <v>1</v>
      </c>
      <c r="O122">
        <v>1823.67</v>
      </c>
      <c r="P122" s="3">
        <v>0.2</v>
      </c>
      <c r="Q122">
        <v>1458.94</v>
      </c>
      <c r="R122">
        <v>893.2</v>
      </c>
      <c r="S122">
        <v>565.74</v>
      </c>
      <c r="T122" t="s">
        <v>41</v>
      </c>
      <c r="U122" t="s">
        <v>112</v>
      </c>
      <c r="V122" s="3">
        <f t="shared" si="9"/>
        <v>0.2</v>
      </c>
      <c r="W122">
        <f t="shared" si="10"/>
        <v>1458.9360000000001</v>
      </c>
      <c r="X122">
        <f t="shared" si="11"/>
        <v>565.7360000000001</v>
      </c>
      <c r="Y122" s="4">
        <f t="shared" si="12"/>
        <v>0.38777300717783375</v>
      </c>
      <c r="Z122">
        <f t="shared" si="13"/>
        <v>8</v>
      </c>
      <c r="AA122">
        <f t="shared" si="14"/>
        <v>8</v>
      </c>
      <c r="AB122">
        <f t="shared" si="15"/>
        <v>2024</v>
      </c>
      <c r="AC122" t="str">
        <f t="shared" si="16"/>
        <v>Unique</v>
      </c>
      <c r="AD122" t="str">
        <f t="shared" si="17"/>
        <v>Clean</v>
      </c>
    </row>
    <row r="123" spans="1:30" x14ac:dyDescent="0.3">
      <c r="A123" t="s">
        <v>483</v>
      </c>
      <c r="B123" s="2">
        <v>45891</v>
      </c>
      <c r="C123" s="2">
        <v>45895</v>
      </c>
      <c r="D123" t="s">
        <v>484</v>
      </c>
      <c r="E123" t="s">
        <v>274</v>
      </c>
      <c r="F123" t="s">
        <v>46</v>
      </c>
      <c r="G123" t="s">
        <v>63</v>
      </c>
      <c r="H123" t="s">
        <v>93</v>
      </c>
      <c r="I123" t="s">
        <v>94</v>
      </c>
      <c r="J123" t="s">
        <v>83</v>
      </c>
      <c r="K123" t="s">
        <v>284</v>
      </c>
      <c r="L123" t="s">
        <v>485</v>
      </c>
      <c r="M123" t="s">
        <v>40</v>
      </c>
      <c r="N123">
        <v>5</v>
      </c>
      <c r="O123">
        <v>3482.92</v>
      </c>
      <c r="P123" s="3">
        <v>0</v>
      </c>
      <c r="Q123">
        <v>17414.599999999999</v>
      </c>
      <c r="R123">
        <v>11760.91</v>
      </c>
      <c r="S123">
        <v>5653.69</v>
      </c>
      <c r="T123" t="s">
        <v>111</v>
      </c>
      <c r="U123" t="s">
        <v>77</v>
      </c>
      <c r="V123" s="3">
        <f t="shared" si="9"/>
        <v>0</v>
      </c>
      <c r="W123">
        <f t="shared" si="10"/>
        <v>17414.599999999999</v>
      </c>
      <c r="X123">
        <f t="shared" si="11"/>
        <v>5653.6899999999987</v>
      </c>
      <c r="Y123" s="4">
        <f t="shared" si="12"/>
        <v>0.3246523032398102</v>
      </c>
      <c r="Z123">
        <f t="shared" si="13"/>
        <v>4</v>
      </c>
      <c r="AA123">
        <f t="shared" si="14"/>
        <v>8</v>
      </c>
      <c r="AB123">
        <f t="shared" si="15"/>
        <v>2025</v>
      </c>
      <c r="AC123" t="str">
        <f t="shared" si="16"/>
        <v>Unique</v>
      </c>
      <c r="AD123" t="str">
        <f t="shared" si="17"/>
        <v>Warning</v>
      </c>
    </row>
    <row r="124" spans="1:30" x14ac:dyDescent="0.3">
      <c r="A124" t="s">
        <v>486</v>
      </c>
      <c r="B124" s="2">
        <v>45626</v>
      </c>
      <c r="C124" s="2">
        <v>45630</v>
      </c>
      <c r="D124" t="s">
        <v>487</v>
      </c>
      <c r="E124" t="s">
        <v>71</v>
      </c>
      <c r="F124" t="s">
        <v>46</v>
      </c>
      <c r="G124" t="s">
        <v>47</v>
      </c>
      <c r="H124" t="s">
        <v>175</v>
      </c>
      <c r="I124" t="s">
        <v>176</v>
      </c>
      <c r="J124" t="s">
        <v>50</v>
      </c>
      <c r="K124" t="s">
        <v>75</v>
      </c>
      <c r="L124" t="s">
        <v>488</v>
      </c>
      <c r="M124" t="s">
        <v>40</v>
      </c>
      <c r="N124">
        <v>3</v>
      </c>
      <c r="O124">
        <v>170.35</v>
      </c>
      <c r="P124" s="3">
        <v>0</v>
      </c>
      <c r="Q124">
        <v>511.05</v>
      </c>
      <c r="R124">
        <v>367.18</v>
      </c>
      <c r="S124">
        <v>143.87</v>
      </c>
      <c r="T124" t="s">
        <v>41</v>
      </c>
      <c r="U124" t="s">
        <v>42</v>
      </c>
      <c r="V124" s="3">
        <f t="shared" si="9"/>
        <v>0</v>
      </c>
      <c r="W124">
        <f t="shared" si="10"/>
        <v>511.04999999999995</v>
      </c>
      <c r="X124">
        <f t="shared" si="11"/>
        <v>143.86999999999995</v>
      </c>
      <c r="Y124" s="4">
        <f t="shared" si="12"/>
        <v>0.28151844242246349</v>
      </c>
      <c r="Z124">
        <f t="shared" si="13"/>
        <v>4</v>
      </c>
      <c r="AA124">
        <f t="shared" si="14"/>
        <v>11</v>
      </c>
      <c r="AB124">
        <f t="shared" si="15"/>
        <v>2024</v>
      </c>
      <c r="AC124" t="str">
        <f t="shared" si="16"/>
        <v>Unique</v>
      </c>
      <c r="AD124" t="str">
        <f t="shared" si="17"/>
        <v>Clean</v>
      </c>
    </row>
    <row r="125" spans="1:30" x14ac:dyDescent="0.3">
      <c r="A125" t="s">
        <v>489</v>
      </c>
      <c r="B125" s="2">
        <v>45436</v>
      </c>
      <c r="C125" s="2">
        <v>45437</v>
      </c>
      <c r="D125" t="s">
        <v>490</v>
      </c>
      <c r="E125" t="s">
        <v>141</v>
      </c>
      <c r="F125" t="s">
        <v>46</v>
      </c>
      <c r="G125" t="s">
        <v>34</v>
      </c>
      <c r="H125" t="s">
        <v>131</v>
      </c>
      <c r="I125" t="s">
        <v>132</v>
      </c>
      <c r="J125" t="s">
        <v>83</v>
      </c>
      <c r="K125" t="s">
        <v>89</v>
      </c>
      <c r="L125" t="s">
        <v>491</v>
      </c>
      <c r="M125" t="s">
        <v>53</v>
      </c>
      <c r="N125">
        <v>1</v>
      </c>
      <c r="O125">
        <v>634.13</v>
      </c>
      <c r="P125" s="3">
        <v>0</v>
      </c>
      <c r="Q125">
        <v>634.13</v>
      </c>
      <c r="R125">
        <v>453.35</v>
      </c>
      <c r="S125">
        <v>180.78</v>
      </c>
      <c r="T125" t="s">
        <v>111</v>
      </c>
      <c r="U125" t="s">
        <v>77</v>
      </c>
      <c r="V125" s="3">
        <f t="shared" si="9"/>
        <v>0</v>
      </c>
      <c r="W125">
        <f t="shared" si="10"/>
        <v>634.13</v>
      </c>
      <c r="X125">
        <f t="shared" si="11"/>
        <v>180.77999999999997</v>
      </c>
      <c r="Y125" s="4">
        <f t="shared" si="12"/>
        <v>0.28508350022865969</v>
      </c>
      <c r="Z125">
        <f t="shared" si="13"/>
        <v>1</v>
      </c>
      <c r="AA125">
        <f t="shared" si="14"/>
        <v>5</v>
      </c>
      <c r="AB125">
        <f t="shared" si="15"/>
        <v>2024</v>
      </c>
      <c r="AC125" t="str">
        <f t="shared" si="16"/>
        <v>Conflict - Review</v>
      </c>
      <c r="AD125" t="str">
        <f t="shared" si="17"/>
        <v>Invalid</v>
      </c>
    </row>
    <row r="126" spans="1:30" x14ac:dyDescent="0.3">
      <c r="A126" t="s">
        <v>492</v>
      </c>
      <c r="B126" s="2">
        <v>45494</v>
      </c>
      <c r="C126" s="2">
        <v>45497</v>
      </c>
      <c r="D126" t="s">
        <v>493</v>
      </c>
      <c r="E126" t="s">
        <v>56</v>
      </c>
      <c r="F126" t="s">
        <v>99</v>
      </c>
      <c r="G126" t="s">
        <v>63</v>
      </c>
      <c r="H126" t="s">
        <v>184</v>
      </c>
      <c r="I126" t="s">
        <v>185</v>
      </c>
      <c r="J126" t="s">
        <v>83</v>
      </c>
      <c r="K126" t="s">
        <v>89</v>
      </c>
      <c r="L126" t="s">
        <v>494</v>
      </c>
      <c r="M126" t="s">
        <v>68</v>
      </c>
      <c r="N126">
        <v>9</v>
      </c>
      <c r="O126">
        <v>465.06</v>
      </c>
      <c r="P126" s="3">
        <v>-0.15</v>
      </c>
      <c r="Q126">
        <v>4185.54</v>
      </c>
      <c r="R126">
        <v>3443.74</v>
      </c>
      <c r="S126">
        <v>741.8</v>
      </c>
      <c r="T126" t="s">
        <v>41</v>
      </c>
      <c r="U126" t="s">
        <v>42</v>
      </c>
      <c r="V126" s="3">
        <f t="shared" si="9"/>
        <v>0.15</v>
      </c>
      <c r="W126">
        <f t="shared" si="10"/>
        <v>3557.7089999999998</v>
      </c>
      <c r="X126">
        <f t="shared" si="11"/>
        <v>113.96900000000005</v>
      </c>
      <c r="Y126" s="4">
        <f t="shared" si="12"/>
        <v>3.2034379427884646E-2</v>
      </c>
      <c r="Z126">
        <f t="shared" si="13"/>
        <v>3</v>
      </c>
      <c r="AA126">
        <f t="shared" si="14"/>
        <v>7</v>
      </c>
      <c r="AB126">
        <f t="shared" si="15"/>
        <v>2024</v>
      </c>
      <c r="AC126" t="str">
        <f t="shared" si="16"/>
        <v>Unique</v>
      </c>
      <c r="AD126" t="str">
        <f t="shared" si="17"/>
        <v>Invalid</v>
      </c>
    </row>
    <row r="127" spans="1:30" x14ac:dyDescent="0.3">
      <c r="A127" t="s">
        <v>495</v>
      </c>
      <c r="B127" s="2">
        <v>45855</v>
      </c>
      <c r="C127" s="2">
        <v>45856</v>
      </c>
      <c r="D127" t="s">
        <v>496</v>
      </c>
      <c r="E127" t="s">
        <v>88</v>
      </c>
      <c r="F127" t="s">
        <v>46</v>
      </c>
      <c r="G127" t="s">
        <v>72</v>
      </c>
      <c r="H127" t="s">
        <v>35</v>
      </c>
      <c r="I127" t="s">
        <v>118</v>
      </c>
      <c r="J127" t="s">
        <v>50</v>
      </c>
      <c r="K127" t="s">
        <v>51</v>
      </c>
      <c r="L127" t="s">
        <v>497</v>
      </c>
      <c r="M127" t="s">
        <v>53</v>
      </c>
      <c r="N127">
        <v>6</v>
      </c>
      <c r="O127">
        <v>3235.27</v>
      </c>
      <c r="P127" s="3">
        <v>0.25</v>
      </c>
      <c r="Q127">
        <v>14558.72</v>
      </c>
      <c r="R127">
        <v>9591.48</v>
      </c>
      <c r="S127">
        <v>4967.24</v>
      </c>
      <c r="T127" t="s">
        <v>111</v>
      </c>
      <c r="U127" t="s">
        <v>112</v>
      </c>
      <c r="V127" s="3">
        <f t="shared" si="9"/>
        <v>0.25</v>
      </c>
      <c r="W127">
        <f t="shared" si="10"/>
        <v>14558.715</v>
      </c>
      <c r="X127">
        <f t="shared" si="11"/>
        <v>4967.2350000000006</v>
      </c>
      <c r="Y127" s="4">
        <f t="shared" si="12"/>
        <v>0.34118636157105903</v>
      </c>
      <c r="Z127">
        <f t="shared" si="13"/>
        <v>1</v>
      </c>
      <c r="AA127">
        <f t="shared" si="14"/>
        <v>7</v>
      </c>
      <c r="AB127">
        <f t="shared" si="15"/>
        <v>2025</v>
      </c>
      <c r="AC127" t="str">
        <f t="shared" si="16"/>
        <v>Unique</v>
      </c>
      <c r="AD127" t="str">
        <f t="shared" si="17"/>
        <v>Clean</v>
      </c>
    </row>
    <row r="128" spans="1:30" x14ac:dyDescent="0.3">
      <c r="A128" t="s">
        <v>498</v>
      </c>
      <c r="B128" s="2">
        <v>45924</v>
      </c>
      <c r="C128" s="2">
        <v>45926</v>
      </c>
      <c r="D128" t="s">
        <v>499</v>
      </c>
      <c r="E128" t="s">
        <v>123</v>
      </c>
      <c r="F128" t="s">
        <v>99</v>
      </c>
      <c r="G128" t="s">
        <v>34</v>
      </c>
      <c r="H128" t="s">
        <v>360</v>
      </c>
      <c r="I128" t="s">
        <v>361</v>
      </c>
      <c r="J128" t="s">
        <v>83</v>
      </c>
      <c r="K128" t="s">
        <v>89</v>
      </c>
      <c r="L128" t="s">
        <v>500</v>
      </c>
      <c r="M128" t="s">
        <v>68</v>
      </c>
      <c r="N128">
        <v>3</v>
      </c>
      <c r="O128">
        <v>1593.86</v>
      </c>
      <c r="P128" s="3">
        <v>0.1</v>
      </c>
      <c r="Q128">
        <v>4303.42</v>
      </c>
      <c r="R128">
        <v>2568.5700000000002</v>
      </c>
      <c r="S128">
        <v>1734.85</v>
      </c>
      <c r="T128" t="s">
        <v>41</v>
      </c>
      <c r="U128" t="s">
        <v>42</v>
      </c>
      <c r="V128" s="3">
        <f t="shared" si="9"/>
        <v>0.1</v>
      </c>
      <c r="W128">
        <f t="shared" si="10"/>
        <v>4303.4220000000005</v>
      </c>
      <c r="X128">
        <f t="shared" si="11"/>
        <v>1734.8520000000003</v>
      </c>
      <c r="Y128" s="4">
        <f t="shared" si="12"/>
        <v>0.40313313451481175</v>
      </c>
      <c r="Z128">
        <f t="shared" si="13"/>
        <v>2</v>
      </c>
      <c r="AA128">
        <f t="shared" si="14"/>
        <v>9</v>
      </c>
      <c r="AB128">
        <f t="shared" si="15"/>
        <v>2025</v>
      </c>
      <c r="AC128" t="str">
        <f t="shared" si="16"/>
        <v>Unique</v>
      </c>
      <c r="AD128" t="str">
        <f t="shared" si="17"/>
        <v>Clean</v>
      </c>
    </row>
    <row r="129" spans="1:30" x14ac:dyDescent="0.3">
      <c r="A129" t="s">
        <v>501</v>
      </c>
      <c r="B129" s="2">
        <v>45687</v>
      </c>
      <c r="C129" s="2">
        <v>45683</v>
      </c>
      <c r="D129" t="s">
        <v>502</v>
      </c>
      <c r="E129" t="s">
        <v>123</v>
      </c>
      <c r="F129" t="s">
        <v>99</v>
      </c>
      <c r="G129" t="s">
        <v>72</v>
      </c>
      <c r="H129" t="s">
        <v>81</v>
      </c>
      <c r="I129" t="s">
        <v>82</v>
      </c>
      <c r="J129" t="s">
        <v>37</v>
      </c>
      <c r="K129" t="s">
        <v>133</v>
      </c>
      <c r="L129" t="s">
        <v>503</v>
      </c>
      <c r="M129" t="s">
        <v>40</v>
      </c>
      <c r="N129">
        <v>2</v>
      </c>
      <c r="O129">
        <v>3039.3</v>
      </c>
      <c r="P129" s="3">
        <v>0.05</v>
      </c>
      <c r="Q129">
        <v>5774.67</v>
      </c>
      <c r="R129">
        <v>3518.36</v>
      </c>
      <c r="S129">
        <v>2256.31</v>
      </c>
      <c r="T129" t="s">
        <v>41</v>
      </c>
      <c r="U129" t="s">
        <v>42</v>
      </c>
      <c r="V129" s="3">
        <f t="shared" si="9"/>
        <v>0.05</v>
      </c>
      <c r="W129">
        <f t="shared" si="10"/>
        <v>5774.67</v>
      </c>
      <c r="X129">
        <f t="shared" si="11"/>
        <v>2256.31</v>
      </c>
      <c r="Y129" s="4">
        <f t="shared" si="12"/>
        <v>0.39072535746631409</v>
      </c>
      <c r="Z129">
        <f t="shared" si="13"/>
        <v>-4</v>
      </c>
      <c r="AA129">
        <f t="shared" si="14"/>
        <v>1</v>
      </c>
      <c r="AB129">
        <f t="shared" si="15"/>
        <v>2025</v>
      </c>
      <c r="AC129" t="str">
        <f t="shared" si="16"/>
        <v>Unique</v>
      </c>
      <c r="AD129" t="str">
        <f t="shared" si="17"/>
        <v>Invalid</v>
      </c>
    </row>
    <row r="130" spans="1:30" x14ac:dyDescent="0.3">
      <c r="A130" t="s">
        <v>504</v>
      </c>
      <c r="B130" s="2">
        <v>45639</v>
      </c>
      <c r="C130" s="2">
        <v>45642</v>
      </c>
      <c r="D130" t="s">
        <v>505</v>
      </c>
      <c r="E130" t="s">
        <v>88</v>
      </c>
      <c r="F130" t="s">
        <v>46</v>
      </c>
      <c r="G130" t="s">
        <v>47</v>
      </c>
      <c r="H130" t="s">
        <v>48</v>
      </c>
      <c r="I130" t="s">
        <v>49</v>
      </c>
      <c r="J130" t="s">
        <v>50</v>
      </c>
      <c r="K130" t="s">
        <v>66</v>
      </c>
      <c r="L130" t="s">
        <v>506</v>
      </c>
      <c r="M130" t="s">
        <v>68</v>
      </c>
      <c r="N130">
        <v>5</v>
      </c>
      <c r="O130">
        <v>923.45</v>
      </c>
      <c r="P130" s="3">
        <v>0.05</v>
      </c>
      <c r="Q130">
        <v>4386.3900000000003</v>
      </c>
      <c r="R130">
        <v>3366.88</v>
      </c>
      <c r="S130">
        <v>1019.51</v>
      </c>
      <c r="T130" t="s">
        <v>41</v>
      </c>
      <c r="U130" t="s">
        <v>112</v>
      </c>
      <c r="V130" s="3">
        <f t="shared" ref="V130:V193" si="18">IF(P130="",0,IF(ISNUMBER(P130),ABS(P130),IF(RIGHT(P130,1)="%",VALUE(LEFT(P130,LEN(P130)-1))/100,P130)))</f>
        <v>0.05</v>
      </c>
      <c r="W130">
        <f t="shared" ref="W130:W193" si="19">N130*O130*(1-V130)</f>
        <v>4386.3874999999998</v>
      </c>
      <c r="X130">
        <f t="shared" ref="X130:X193" si="20">W130-R130</f>
        <v>1019.5074999999997</v>
      </c>
      <c r="Y130" s="4">
        <f t="shared" ref="Y130:Y193" si="21">IF(W130=0,0,X130/W130)</f>
        <v>0.2324253158208206</v>
      </c>
      <c r="Z130">
        <f t="shared" ref="Z130:Z193" si="22">C130-B130</f>
        <v>3</v>
      </c>
      <c r="AA130">
        <f t="shared" ref="AA130:AA193" si="23">MONTH(B130)</f>
        <v>12</v>
      </c>
      <c r="AB130">
        <f t="shared" ref="AB130:AB193" si="24">YEAR(B130)</f>
        <v>2024</v>
      </c>
      <c r="AC130" t="str">
        <f t="shared" ref="AC130:AC193" si="25">IF(COUNTIF($A$2:$A$913,A130)&gt;1,"Conflict - Review","Unique")</f>
        <v>Unique</v>
      </c>
      <c r="AD130" t="str">
        <f t="shared" ref="AD130:AD193" si="26">IF(OR(C130&lt;B130,AND(ISNUMBER(P130),P130&lt;0),V130&gt;0.65,AC130="Conflict - Review"),"Invalid",IF(OR(G130="Unknown",M130="Unknown",T130="Failed",U130="Cancelled"),"Warning","Clean"))</f>
        <v>Clean</v>
      </c>
    </row>
    <row r="131" spans="1:30" x14ac:dyDescent="0.3">
      <c r="A131" t="s">
        <v>507</v>
      </c>
      <c r="B131" s="2">
        <v>45492</v>
      </c>
      <c r="C131" s="2">
        <v>45498</v>
      </c>
      <c r="D131" t="s">
        <v>508</v>
      </c>
      <c r="E131" t="s">
        <v>56</v>
      </c>
      <c r="F131" t="s">
        <v>46</v>
      </c>
      <c r="G131" t="s">
        <v>72</v>
      </c>
      <c r="H131" t="s">
        <v>199</v>
      </c>
      <c r="I131" t="s">
        <v>200</v>
      </c>
      <c r="J131" t="s">
        <v>37</v>
      </c>
      <c r="K131" t="s">
        <v>162</v>
      </c>
      <c r="L131" t="s">
        <v>509</v>
      </c>
      <c r="M131" t="s">
        <v>68</v>
      </c>
      <c r="N131">
        <v>7</v>
      </c>
      <c r="O131">
        <v>2741.29</v>
      </c>
      <c r="P131" s="3">
        <v>0.05</v>
      </c>
      <c r="Q131">
        <v>18229.580000000002</v>
      </c>
      <c r="R131">
        <v>15139.15</v>
      </c>
      <c r="S131">
        <v>3090.43</v>
      </c>
      <c r="T131" t="s">
        <v>41</v>
      </c>
      <c r="U131" t="s">
        <v>42</v>
      </c>
      <c r="V131" s="3">
        <f t="shared" si="18"/>
        <v>0.05</v>
      </c>
      <c r="W131">
        <f t="shared" si="19"/>
        <v>18229.5785</v>
      </c>
      <c r="X131">
        <f t="shared" si="20"/>
        <v>3090.4285</v>
      </c>
      <c r="Y131" s="4">
        <f t="shared" si="21"/>
        <v>0.16952824773211295</v>
      </c>
      <c r="Z131">
        <f t="shared" si="22"/>
        <v>6</v>
      </c>
      <c r="AA131">
        <f t="shared" si="23"/>
        <v>7</v>
      </c>
      <c r="AB131">
        <f t="shared" si="24"/>
        <v>2024</v>
      </c>
      <c r="AC131" t="str">
        <f t="shared" si="25"/>
        <v>Unique</v>
      </c>
      <c r="AD131" t="str">
        <f t="shared" si="26"/>
        <v>Clean</v>
      </c>
    </row>
    <row r="132" spans="1:30" x14ac:dyDescent="0.3">
      <c r="A132" t="s">
        <v>510</v>
      </c>
      <c r="B132" s="2">
        <v>45318</v>
      </c>
      <c r="C132" s="2">
        <v>45324</v>
      </c>
      <c r="D132" t="s">
        <v>511</v>
      </c>
      <c r="E132" t="s">
        <v>62</v>
      </c>
      <c r="F132" t="s">
        <v>33</v>
      </c>
      <c r="G132" t="s">
        <v>72</v>
      </c>
      <c r="H132" t="s">
        <v>189</v>
      </c>
      <c r="I132" t="s">
        <v>190</v>
      </c>
      <c r="J132" t="s">
        <v>37</v>
      </c>
      <c r="K132" t="s">
        <v>100</v>
      </c>
      <c r="L132" t="s">
        <v>512</v>
      </c>
      <c r="M132" t="s">
        <v>53</v>
      </c>
      <c r="N132">
        <v>5</v>
      </c>
      <c r="O132">
        <v>218.42</v>
      </c>
      <c r="P132" s="3">
        <v>0.2</v>
      </c>
      <c r="Q132">
        <v>873.68</v>
      </c>
      <c r="R132">
        <v>661.72</v>
      </c>
      <c r="S132">
        <v>211.96</v>
      </c>
      <c r="T132" t="s">
        <v>120</v>
      </c>
      <c r="U132" t="s">
        <v>77</v>
      </c>
      <c r="V132" s="3">
        <f t="shared" si="18"/>
        <v>0.2</v>
      </c>
      <c r="W132">
        <f t="shared" si="19"/>
        <v>873.68</v>
      </c>
      <c r="X132">
        <f t="shared" si="20"/>
        <v>211.95999999999992</v>
      </c>
      <c r="Y132" s="4">
        <f t="shared" si="21"/>
        <v>0.24260598846259493</v>
      </c>
      <c r="Z132">
        <f t="shared" si="22"/>
        <v>6</v>
      </c>
      <c r="AA132">
        <f t="shared" si="23"/>
        <v>1</v>
      </c>
      <c r="AB132">
        <f t="shared" si="24"/>
        <v>2024</v>
      </c>
      <c r="AC132" t="str">
        <f t="shared" si="25"/>
        <v>Unique</v>
      </c>
      <c r="AD132" t="str">
        <f t="shared" si="26"/>
        <v>Warning</v>
      </c>
    </row>
    <row r="133" spans="1:30" x14ac:dyDescent="0.3">
      <c r="A133" t="s">
        <v>513</v>
      </c>
      <c r="B133" s="2">
        <v>45929</v>
      </c>
      <c r="C133" s="2">
        <v>45934</v>
      </c>
      <c r="D133" t="s">
        <v>514</v>
      </c>
      <c r="E133" t="s">
        <v>71</v>
      </c>
      <c r="F133" t="s">
        <v>104</v>
      </c>
      <c r="G133" t="s">
        <v>47</v>
      </c>
      <c r="H133" t="s">
        <v>238</v>
      </c>
      <c r="I133" t="s">
        <v>239</v>
      </c>
      <c r="J133" t="s">
        <v>37</v>
      </c>
      <c r="K133" t="s">
        <v>38</v>
      </c>
      <c r="L133" t="s">
        <v>515</v>
      </c>
      <c r="M133" t="s">
        <v>53</v>
      </c>
      <c r="N133">
        <v>9</v>
      </c>
      <c r="O133">
        <v>373.91</v>
      </c>
      <c r="P133" s="3">
        <v>0.2</v>
      </c>
      <c r="Q133">
        <v>2692.15</v>
      </c>
      <c r="R133">
        <v>2044.49</v>
      </c>
      <c r="S133">
        <v>647.66</v>
      </c>
      <c r="T133" t="s">
        <v>41</v>
      </c>
      <c r="U133" t="s">
        <v>42</v>
      </c>
      <c r="V133" s="3">
        <f t="shared" si="18"/>
        <v>0.2</v>
      </c>
      <c r="W133">
        <f t="shared" si="19"/>
        <v>2692.152</v>
      </c>
      <c r="X133">
        <f t="shared" si="20"/>
        <v>647.66200000000003</v>
      </c>
      <c r="Y133" s="4">
        <f t="shared" si="21"/>
        <v>0.24057408348414205</v>
      </c>
      <c r="Z133">
        <f t="shared" si="22"/>
        <v>5</v>
      </c>
      <c r="AA133">
        <f t="shared" si="23"/>
        <v>9</v>
      </c>
      <c r="AB133">
        <f t="shared" si="24"/>
        <v>2025</v>
      </c>
      <c r="AC133" t="str">
        <f t="shared" si="25"/>
        <v>Unique</v>
      </c>
      <c r="AD133" t="str">
        <f t="shared" si="26"/>
        <v>Clean</v>
      </c>
    </row>
    <row r="134" spans="1:30" x14ac:dyDescent="0.3">
      <c r="A134" t="s">
        <v>516</v>
      </c>
      <c r="B134" s="2">
        <v>45600</v>
      </c>
      <c r="C134" s="2">
        <v>45600</v>
      </c>
      <c r="D134" t="s">
        <v>517</v>
      </c>
      <c r="E134" t="s">
        <v>274</v>
      </c>
      <c r="F134" t="s">
        <v>99</v>
      </c>
      <c r="G134" t="s">
        <v>47</v>
      </c>
      <c r="H134" t="s">
        <v>175</v>
      </c>
      <c r="I134" t="s">
        <v>176</v>
      </c>
      <c r="J134" t="s">
        <v>83</v>
      </c>
      <c r="K134" t="s">
        <v>284</v>
      </c>
      <c r="L134" t="s">
        <v>518</v>
      </c>
      <c r="M134" t="s">
        <v>59</v>
      </c>
      <c r="N134">
        <v>2</v>
      </c>
      <c r="O134">
        <v>533.08000000000004</v>
      </c>
      <c r="P134" s="3">
        <v>0</v>
      </c>
      <c r="Q134">
        <v>1066.1600000000001</v>
      </c>
      <c r="R134">
        <v>656.3</v>
      </c>
      <c r="S134">
        <v>409.86</v>
      </c>
      <c r="T134" t="s">
        <v>164</v>
      </c>
      <c r="U134" t="s">
        <v>77</v>
      </c>
      <c r="V134" s="3">
        <f t="shared" si="18"/>
        <v>0</v>
      </c>
      <c r="W134">
        <f t="shared" si="19"/>
        <v>1066.1600000000001</v>
      </c>
      <c r="X134">
        <f t="shared" si="20"/>
        <v>409.86000000000013</v>
      </c>
      <c r="Y134" s="4">
        <f t="shared" si="21"/>
        <v>0.38442635251744589</v>
      </c>
      <c r="Z134">
        <f t="shared" si="22"/>
        <v>0</v>
      </c>
      <c r="AA134">
        <f t="shared" si="23"/>
        <v>11</v>
      </c>
      <c r="AB134">
        <f t="shared" si="24"/>
        <v>2024</v>
      </c>
      <c r="AC134" t="str">
        <f t="shared" si="25"/>
        <v>Unique</v>
      </c>
      <c r="AD134" t="str">
        <f t="shared" si="26"/>
        <v>Warning</v>
      </c>
    </row>
    <row r="135" spans="1:30" x14ac:dyDescent="0.3">
      <c r="A135" t="s">
        <v>519</v>
      </c>
      <c r="B135" s="2">
        <v>45639</v>
      </c>
      <c r="C135" s="2">
        <v>45644</v>
      </c>
      <c r="D135" t="s">
        <v>520</v>
      </c>
      <c r="E135" t="s">
        <v>32</v>
      </c>
      <c r="F135" t="s">
        <v>33</v>
      </c>
      <c r="G135" t="s">
        <v>72</v>
      </c>
      <c r="H135" t="s">
        <v>199</v>
      </c>
      <c r="I135" t="s">
        <v>200</v>
      </c>
      <c r="J135" t="s">
        <v>83</v>
      </c>
      <c r="K135" t="s">
        <v>180</v>
      </c>
      <c r="L135" t="s">
        <v>521</v>
      </c>
      <c r="M135" t="s">
        <v>40</v>
      </c>
      <c r="N135">
        <v>8</v>
      </c>
      <c r="O135">
        <v>3372.15</v>
      </c>
      <c r="P135" s="3">
        <v>0.15</v>
      </c>
      <c r="Q135">
        <v>22930.62</v>
      </c>
      <c r="R135">
        <v>16875.55</v>
      </c>
      <c r="S135">
        <v>6055.07</v>
      </c>
      <c r="T135" t="s">
        <v>41</v>
      </c>
      <c r="U135" t="s">
        <v>42</v>
      </c>
      <c r="V135" s="3">
        <f t="shared" si="18"/>
        <v>0.15</v>
      </c>
      <c r="W135">
        <f t="shared" si="19"/>
        <v>22930.62</v>
      </c>
      <c r="X135">
        <f t="shared" si="20"/>
        <v>6055.07</v>
      </c>
      <c r="Y135" s="4">
        <f t="shared" si="21"/>
        <v>0.26406045715292475</v>
      </c>
      <c r="Z135">
        <f t="shared" si="22"/>
        <v>5</v>
      </c>
      <c r="AA135">
        <f t="shared" si="23"/>
        <v>12</v>
      </c>
      <c r="AB135">
        <f t="shared" si="24"/>
        <v>2024</v>
      </c>
      <c r="AC135" t="str">
        <f t="shared" si="25"/>
        <v>Unique</v>
      </c>
      <c r="AD135" t="str">
        <f t="shared" si="26"/>
        <v>Clean</v>
      </c>
    </row>
    <row r="136" spans="1:30" x14ac:dyDescent="0.3">
      <c r="A136" t="s">
        <v>522</v>
      </c>
      <c r="B136" s="2">
        <v>45852</v>
      </c>
      <c r="C136" s="2">
        <v>45852</v>
      </c>
      <c r="D136" t="s">
        <v>523</v>
      </c>
      <c r="E136" t="s">
        <v>80</v>
      </c>
      <c r="F136" t="s">
        <v>104</v>
      </c>
      <c r="G136" t="s">
        <v>47</v>
      </c>
      <c r="H136" t="s">
        <v>108</v>
      </c>
      <c r="I136" t="s">
        <v>109</v>
      </c>
      <c r="J136" t="s">
        <v>50</v>
      </c>
      <c r="K136" t="s">
        <v>167</v>
      </c>
      <c r="L136" t="s">
        <v>524</v>
      </c>
      <c r="M136" t="s">
        <v>214</v>
      </c>
      <c r="N136">
        <v>5</v>
      </c>
      <c r="O136">
        <v>383.1</v>
      </c>
      <c r="P136" s="3">
        <v>0.25</v>
      </c>
      <c r="Q136">
        <v>1436.62</v>
      </c>
      <c r="R136">
        <v>912.52</v>
      </c>
      <c r="S136">
        <v>524.1</v>
      </c>
      <c r="T136" t="s">
        <v>120</v>
      </c>
      <c r="U136" t="s">
        <v>77</v>
      </c>
      <c r="V136" s="3">
        <f t="shared" si="18"/>
        <v>0.25</v>
      </c>
      <c r="W136">
        <f t="shared" si="19"/>
        <v>1436.625</v>
      </c>
      <c r="X136">
        <f t="shared" si="20"/>
        <v>524.10500000000002</v>
      </c>
      <c r="Y136" s="4">
        <f t="shared" si="21"/>
        <v>0.36481684503610895</v>
      </c>
      <c r="Z136">
        <f t="shared" si="22"/>
        <v>0</v>
      </c>
      <c r="AA136">
        <f t="shared" si="23"/>
        <v>7</v>
      </c>
      <c r="AB136">
        <f t="shared" si="24"/>
        <v>2025</v>
      </c>
      <c r="AC136" t="str">
        <f t="shared" si="25"/>
        <v>Unique</v>
      </c>
      <c r="AD136" t="str">
        <f t="shared" si="26"/>
        <v>Warning</v>
      </c>
    </row>
    <row r="137" spans="1:30" x14ac:dyDescent="0.3">
      <c r="A137" t="s">
        <v>525</v>
      </c>
      <c r="B137" s="2">
        <v>45893</v>
      </c>
      <c r="C137" s="2">
        <v>45893</v>
      </c>
      <c r="D137" t="s">
        <v>526</v>
      </c>
      <c r="E137" t="s">
        <v>171</v>
      </c>
      <c r="F137" t="s">
        <v>46</v>
      </c>
      <c r="G137" t="s">
        <v>63</v>
      </c>
      <c r="H137" t="s">
        <v>194</v>
      </c>
      <c r="I137" t="s">
        <v>195</v>
      </c>
      <c r="J137" t="s">
        <v>50</v>
      </c>
      <c r="K137" t="s">
        <v>167</v>
      </c>
      <c r="L137" t="s">
        <v>527</v>
      </c>
      <c r="M137" t="s">
        <v>68</v>
      </c>
      <c r="N137">
        <v>1</v>
      </c>
      <c r="O137">
        <v>3424.78</v>
      </c>
      <c r="P137" s="3">
        <v>0</v>
      </c>
      <c r="Q137">
        <v>3424.78</v>
      </c>
      <c r="R137">
        <v>1951.45</v>
      </c>
      <c r="S137">
        <v>1473.33</v>
      </c>
      <c r="T137" t="s">
        <v>41</v>
      </c>
      <c r="U137" t="s">
        <v>42</v>
      </c>
      <c r="V137" s="3">
        <f t="shared" si="18"/>
        <v>0</v>
      </c>
      <c r="W137">
        <f t="shared" si="19"/>
        <v>3424.78</v>
      </c>
      <c r="X137">
        <f t="shared" si="20"/>
        <v>1473.3300000000002</v>
      </c>
      <c r="Y137" s="4">
        <f t="shared" si="21"/>
        <v>0.43019697615613267</v>
      </c>
      <c r="Z137">
        <f t="shared" si="22"/>
        <v>0</v>
      </c>
      <c r="AA137">
        <f t="shared" si="23"/>
        <v>8</v>
      </c>
      <c r="AB137">
        <f t="shared" si="24"/>
        <v>2025</v>
      </c>
      <c r="AC137" t="str">
        <f t="shared" si="25"/>
        <v>Unique</v>
      </c>
      <c r="AD137" t="str">
        <f t="shared" si="26"/>
        <v>Clean</v>
      </c>
    </row>
    <row r="138" spans="1:30" x14ac:dyDescent="0.3">
      <c r="A138" t="s">
        <v>528</v>
      </c>
      <c r="B138" s="2">
        <v>45697</v>
      </c>
      <c r="C138" s="2">
        <v>45703</v>
      </c>
      <c r="D138" t="s">
        <v>529</v>
      </c>
      <c r="E138" t="s">
        <v>45</v>
      </c>
      <c r="F138" t="s">
        <v>104</v>
      </c>
      <c r="G138" t="s">
        <v>47</v>
      </c>
      <c r="H138" t="s">
        <v>238</v>
      </c>
      <c r="I138" t="s">
        <v>239</v>
      </c>
      <c r="J138" t="s">
        <v>37</v>
      </c>
      <c r="K138" t="s">
        <v>162</v>
      </c>
      <c r="L138" t="s">
        <v>530</v>
      </c>
      <c r="M138" t="s">
        <v>68</v>
      </c>
      <c r="N138">
        <v>9</v>
      </c>
      <c r="O138">
        <v>4330.33</v>
      </c>
      <c r="P138" s="3">
        <v>0.2</v>
      </c>
      <c r="Q138">
        <v>31178.38</v>
      </c>
      <c r="R138">
        <v>21421.09</v>
      </c>
      <c r="S138">
        <v>9757.2900000000009</v>
      </c>
      <c r="T138" t="s">
        <v>41</v>
      </c>
      <c r="U138" t="s">
        <v>42</v>
      </c>
      <c r="V138" s="3">
        <f t="shared" si="18"/>
        <v>0.2</v>
      </c>
      <c r="W138">
        <f t="shared" si="19"/>
        <v>31178.376000000004</v>
      </c>
      <c r="X138">
        <f t="shared" si="20"/>
        <v>9757.2860000000037</v>
      </c>
      <c r="Y138" s="4">
        <f t="shared" si="21"/>
        <v>0.31295042435821552</v>
      </c>
      <c r="Z138">
        <f t="shared" si="22"/>
        <v>6</v>
      </c>
      <c r="AA138">
        <f t="shared" si="23"/>
        <v>2</v>
      </c>
      <c r="AB138">
        <f t="shared" si="24"/>
        <v>2025</v>
      </c>
      <c r="AC138" t="str">
        <f t="shared" si="25"/>
        <v>Unique</v>
      </c>
      <c r="AD138" t="str">
        <f t="shared" si="26"/>
        <v>Clean</v>
      </c>
    </row>
    <row r="139" spans="1:30" x14ac:dyDescent="0.3">
      <c r="A139" t="s">
        <v>531</v>
      </c>
      <c r="B139" s="2">
        <v>45666</v>
      </c>
      <c r="C139" s="2">
        <v>45666</v>
      </c>
      <c r="D139" t="s">
        <v>532</v>
      </c>
      <c r="E139" t="s">
        <v>141</v>
      </c>
      <c r="F139" t="s">
        <v>46</v>
      </c>
      <c r="G139" t="s">
        <v>34</v>
      </c>
      <c r="H139" t="s">
        <v>35</v>
      </c>
      <c r="I139" t="s">
        <v>36</v>
      </c>
      <c r="J139" t="s">
        <v>50</v>
      </c>
      <c r="K139" t="s">
        <v>75</v>
      </c>
      <c r="L139" t="s">
        <v>533</v>
      </c>
      <c r="M139" t="s">
        <v>53</v>
      </c>
      <c r="N139">
        <v>8</v>
      </c>
      <c r="O139">
        <v>2667.07</v>
      </c>
      <c r="P139" s="3">
        <v>0.1</v>
      </c>
      <c r="Q139">
        <v>19202.900000000001</v>
      </c>
      <c r="R139">
        <v>15526.62</v>
      </c>
      <c r="S139">
        <v>3676.28</v>
      </c>
      <c r="T139" t="s">
        <v>41</v>
      </c>
      <c r="U139" t="s">
        <v>42</v>
      </c>
      <c r="V139" s="3">
        <f t="shared" si="18"/>
        <v>0.1</v>
      </c>
      <c r="W139">
        <f t="shared" si="19"/>
        <v>19202.904000000002</v>
      </c>
      <c r="X139">
        <f t="shared" si="20"/>
        <v>3676.2840000000015</v>
      </c>
      <c r="Y139" s="4">
        <f t="shared" si="21"/>
        <v>0.19144416906942829</v>
      </c>
      <c r="Z139">
        <f t="shared" si="22"/>
        <v>0</v>
      </c>
      <c r="AA139">
        <f t="shared" si="23"/>
        <v>1</v>
      </c>
      <c r="AB139">
        <f t="shared" si="24"/>
        <v>2025</v>
      </c>
      <c r="AC139" t="str">
        <f t="shared" si="25"/>
        <v>Unique</v>
      </c>
      <c r="AD139" t="str">
        <f t="shared" si="26"/>
        <v>Clean</v>
      </c>
    </row>
    <row r="140" spans="1:30" x14ac:dyDescent="0.3">
      <c r="A140" t="s">
        <v>534</v>
      </c>
      <c r="B140" s="2">
        <v>45311</v>
      </c>
      <c r="C140" s="2">
        <v>45317</v>
      </c>
      <c r="D140" t="s">
        <v>535</v>
      </c>
      <c r="E140" t="s">
        <v>171</v>
      </c>
      <c r="F140" t="s">
        <v>104</v>
      </c>
      <c r="G140" t="s">
        <v>47</v>
      </c>
      <c r="H140" t="s">
        <v>238</v>
      </c>
      <c r="I140" t="s">
        <v>239</v>
      </c>
      <c r="J140" t="s">
        <v>83</v>
      </c>
      <c r="K140" t="s">
        <v>284</v>
      </c>
      <c r="L140" t="s">
        <v>536</v>
      </c>
      <c r="M140" t="s">
        <v>68</v>
      </c>
      <c r="N140">
        <v>8</v>
      </c>
      <c r="O140">
        <v>4003.05</v>
      </c>
      <c r="P140" s="3">
        <v>0.25</v>
      </c>
      <c r="Q140">
        <v>24018.3</v>
      </c>
      <c r="R140">
        <v>14070.78</v>
      </c>
      <c r="S140">
        <v>9947.52</v>
      </c>
      <c r="T140" t="s">
        <v>41</v>
      </c>
      <c r="U140" t="s">
        <v>42</v>
      </c>
      <c r="V140" s="3">
        <f t="shared" si="18"/>
        <v>0.25</v>
      </c>
      <c r="W140">
        <f t="shared" si="19"/>
        <v>24018.300000000003</v>
      </c>
      <c r="X140">
        <f t="shared" si="20"/>
        <v>9947.5200000000023</v>
      </c>
      <c r="Y140" s="4">
        <f t="shared" si="21"/>
        <v>0.41416419979765434</v>
      </c>
      <c r="Z140">
        <f t="shared" si="22"/>
        <v>6</v>
      </c>
      <c r="AA140">
        <f t="shared" si="23"/>
        <v>1</v>
      </c>
      <c r="AB140">
        <f t="shared" si="24"/>
        <v>2024</v>
      </c>
      <c r="AC140" t="str">
        <f t="shared" si="25"/>
        <v>Unique</v>
      </c>
      <c r="AD140" t="str">
        <f t="shared" si="26"/>
        <v>Clean</v>
      </c>
    </row>
    <row r="141" spans="1:30" x14ac:dyDescent="0.3">
      <c r="A141" t="s">
        <v>537</v>
      </c>
      <c r="B141" s="2">
        <v>45718</v>
      </c>
      <c r="C141" s="2">
        <v>45723</v>
      </c>
      <c r="D141" t="s">
        <v>538</v>
      </c>
      <c r="E141" t="s">
        <v>88</v>
      </c>
      <c r="F141" t="s">
        <v>104</v>
      </c>
      <c r="G141" t="s">
        <v>63</v>
      </c>
      <c r="H141" t="s">
        <v>184</v>
      </c>
      <c r="I141" t="s">
        <v>185</v>
      </c>
      <c r="J141" t="s">
        <v>37</v>
      </c>
      <c r="K141" t="s">
        <v>100</v>
      </c>
      <c r="L141" t="s">
        <v>539</v>
      </c>
      <c r="M141" t="s">
        <v>68</v>
      </c>
      <c r="N141">
        <v>8</v>
      </c>
      <c r="O141">
        <v>1287.6300000000001</v>
      </c>
      <c r="P141" s="3">
        <v>0</v>
      </c>
      <c r="Q141">
        <v>10301.040000000001</v>
      </c>
      <c r="R141">
        <v>6564.06</v>
      </c>
      <c r="S141">
        <v>3736.98</v>
      </c>
      <c r="T141" t="s">
        <v>41</v>
      </c>
      <c r="U141" t="s">
        <v>42</v>
      </c>
      <c r="V141" s="3">
        <f t="shared" si="18"/>
        <v>0</v>
      </c>
      <c r="W141">
        <f t="shared" si="19"/>
        <v>10301.040000000001</v>
      </c>
      <c r="X141">
        <f t="shared" si="20"/>
        <v>3736.9800000000005</v>
      </c>
      <c r="Y141" s="4">
        <f t="shared" si="21"/>
        <v>0.3627769623261341</v>
      </c>
      <c r="Z141">
        <f t="shared" si="22"/>
        <v>5</v>
      </c>
      <c r="AA141">
        <f t="shared" si="23"/>
        <v>3</v>
      </c>
      <c r="AB141">
        <f t="shared" si="24"/>
        <v>2025</v>
      </c>
      <c r="AC141" t="str">
        <f t="shared" si="25"/>
        <v>Unique</v>
      </c>
      <c r="AD141" t="str">
        <f t="shared" si="26"/>
        <v>Clean</v>
      </c>
    </row>
    <row r="142" spans="1:30" x14ac:dyDescent="0.3">
      <c r="A142" t="s">
        <v>540</v>
      </c>
      <c r="B142" s="2">
        <v>45443</v>
      </c>
      <c r="C142" s="2">
        <v>45444</v>
      </c>
      <c r="D142" t="s">
        <v>541</v>
      </c>
      <c r="E142" t="s">
        <v>45</v>
      </c>
      <c r="F142" t="s">
        <v>99</v>
      </c>
      <c r="G142" t="s">
        <v>63</v>
      </c>
      <c r="H142" t="s">
        <v>184</v>
      </c>
      <c r="I142" t="s">
        <v>185</v>
      </c>
      <c r="J142" t="s">
        <v>50</v>
      </c>
      <c r="K142" t="s">
        <v>167</v>
      </c>
      <c r="L142" t="s">
        <v>542</v>
      </c>
      <c r="M142" t="s">
        <v>53</v>
      </c>
      <c r="N142">
        <v>3</v>
      </c>
      <c r="O142">
        <v>2914.55</v>
      </c>
      <c r="P142" s="3">
        <v>0</v>
      </c>
      <c r="Q142">
        <v>8743.65</v>
      </c>
      <c r="R142">
        <v>6603.76</v>
      </c>
      <c r="S142">
        <v>2139.89</v>
      </c>
      <c r="T142" t="s">
        <v>41</v>
      </c>
      <c r="U142" t="s">
        <v>42</v>
      </c>
      <c r="V142" s="3">
        <f t="shared" si="18"/>
        <v>0</v>
      </c>
      <c r="W142">
        <f t="shared" si="19"/>
        <v>8743.6500000000015</v>
      </c>
      <c r="X142">
        <f t="shared" si="20"/>
        <v>2139.8900000000012</v>
      </c>
      <c r="Y142" s="4">
        <f t="shared" si="21"/>
        <v>0.24473646589239059</v>
      </c>
      <c r="Z142">
        <f t="shared" si="22"/>
        <v>1</v>
      </c>
      <c r="AA142">
        <f t="shared" si="23"/>
        <v>5</v>
      </c>
      <c r="AB142">
        <f t="shared" si="24"/>
        <v>2024</v>
      </c>
      <c r="AC142" t="str">
        <f t="shared" si="25"/>
        <v>Unique</v>
      </c>
      <c r="AD142" t="str">
        <f t="shared" si="26"/>
        <v>Clean</v>
      </c>
    </row>
    <row r="143" spans="1:30" x14ac:dyDescent="0.3">
      <c r="A143" t="s">
        <v>543</v>
      </c>
      <c r="B143" s="2">
        <v>45374</v>
      </c>
      <c r="C143" s="2">
        <v>45380</v>
      </c>
      <c r="D143" t="s">
        <v>544</v>
      </c>
      <c r="E143" t="s">
        <v>123</v>
      </c>
      <c r="F143" t="s">
        <v>99</v>
      </c>
      <c r="G143" t="s">
        <v>34</v>
      </c>
      <c r="H143" t="s">
        <v>360</v>
      </c>
      <c r="I143" t="s">
        <v>361</v>
      </c>
      <c r="J143" t="s">
        <v>50</v>
      </c>
      <c r="K143" t="s">
        <v>167</v>
      </c>
      <c r="L143" t="s">
        <v>545</v>
      </c>
      <c r="M143" t="s">
        <v>53</v>
      </c>
      <c r="N143">
        <v>7</v>
      </c>
      <c r="O143">
        <v>634.29</v>
      </c>
      <c r="P143" s="3">
        <v>0.1</v>
      </c>
      <c r="Q143">
        <v>3996.03</v>
      </c>
      <c r="R143">
        <v>2859.51</v>
      </c>
      <c r="S143">
        <v>1136.52</v>
      </c>
      <c r="T143" t="s">
        <v>41</v>
      </c>
      <c r="U143" t="s">
        <v>112</v>
      </c>
      <c r="V143" s="3">
        <f t="shared" si="18"/>
        <v>0.1</v>
      </c>
      <c r="W143">
        <f t="shared" si="19"/>
        <v>3996.027</v>
      </c>
      <c r="X143">
        <f t="shared" si="20"/>
        <v>1136.5169999999998</v>
      </c>
      <c r="Y143" s="4">
        <f t="shared" si="21"/>
        <v>0.28441174196270441</v>
      </c>
      <c r="Z143">
        <f t="shared" si="22"/>
        <v>6</v>
      </c>
      <c r="AA143">
        <f t="shared" si="23"/>
        <v>3</v>
      </c>
      <c r="AB143">
        <f t="shared" si="24"/>
        <v>2024</v>
      </c>
      <c r="AC143" t="str">
        <f t="shared" si="25"/>
        <v>Unique</v>
      </c>
      <c r="AD143" t="str">
        <f t="shared" si="26"/>
        <v>Clean</v>
      </c>
    </row>
    <row r="144" spans="1:30" x14ac:dyDescent="0.3">
      <c r="A144" t="s">
        <v>546</v>
      </c>
      <c r="B144" s="2">
        <v>45381</v>
      </c>
      <c r="C144" s="2">
        <v>45377</v>
      </c>
      <c r="D144" t="s">
        <v>547</v>
      </c>
      <c r="E144" t="s">
        <v>98</v>
      </c>
      <c r="F144" t="s">
        <v>104</v>
      </c>
      <c r="G144" t="s">
        <v>34</v>
      </c>
      <c r="H144" t="s">
        <v>35</v>
      </c>
      <c r="I144" t="s">
        <v>36</v>
      </c>
      <c r="J144" t="s">
        <v>83</v>
      </c>
      <c r="K144" t="s">
        <v>180</v>
      </c>
      <c r="L144" t="s">
        <v>548</v>
      </c>
      <c r="M144" t="s">
        <v>40</v>
      </c>
      <c r="N144">
        <v>5</v>
      </c>
      <c r="O144">
        <v>907.54</v>
      </c>
      <c r="P144" s="3">
        <v>0.15</v>
      </c>
      <c r="Q144">
        <v>3857.04</v>
      </c>
      <c r="R144">
        <v>2769.26</v>
      </c>
      <c r="S144">
        <v>1087.78</v>
      </c>
      <c r="T144" t="s">
        <v>41</v>
      </c>
      <c r="U144" t="s">
        <v>42</v>
      </c>
      <c r="V144" s="3">
        <f t="shared" si="18"/>
        <v>0.15</v>
      </c>
      <c r="W144">
        <f t="shared" si="19"/>
        <v>3857.0449999999996</v>
      </c>
      <c r="X144">
        <f t="shared" si="20"/>
        <v>1087.7849999999994</v>
      </c>
      <c r="Y144" s="4">
        <f t="shared" si="21"/>
        <v>0.28202548842442843</v>
      </c>
      <c r="Z144">
        <f t="shared" si="22"/>
        <v>-4</v>
      </c>
      <c r="AA144">
        <f t="shared" si="23"/>
        <v>3</v>
      </c>
      <c r="AB144">
        <f t="shared" si="24"/>
        <v>2024</v>
      </c>
      <c r="AC144" t="str">
        <f t="shared" si="25"/>
        <v>Conflict - Review</v>
      </c>
      <c r="AD144" t="str">
        <f t="shared" si="26"/>
        <v>Invalid</v>
      </c>
    </row>
    <row r="145" spans="1:30" x14ac:dyDescent="0.3">
      <c r="A145" t="s">
        <v>549</v>
      </c>
      <c r="B145" s="2">
        <v>45375</v>
      </c>
      <c r="C145" s="2">
        <v>45377</v>
      </c>
      <c r="D145" t="s">
        <v>550</v>
      </c>
      <c r="E145" t="s">
        <v>123</v>
      </c>
      <c r="F145" t="s">
        <v>33</v>
      </c>
      <c r="G145" t="s">
        <v>72</v>
      </c>
      <c r="H145" t="s">
        <v>189</v>
      </c>
      <c r="I145" t="s">
        <v>190</v>
      </c>
      <c r="J145" t="s">
        <v>37</v>
      </c>
      <c r="K145" t="s">
        <v>38</v>
      </c>
      <c r="L145" t="s">
        <v>551</v>
      </c>
      <c r="M145" t="s">
        <v>40</v>
      </c>
      <c r="N145">
        <v>1</v>
      </c>
      <c r="O145">
        <v>3409.5</v>
      </c>
      <c r="P145" s="3">
        <v>0.1</v>
      </c>
      <c r="Q145">
        <v>3068.55</v>
      </c>
      <c r="R145">
        <v>1916.16</v>
      </c>
      <c r="S145">
        <v>1152.3900000000001</v>
      </c>
      <c r="T145" t="s">
        <v>41</v>
      </c>
      <c r="U145" t="s">
        <v>112</v>
      </c>
      <c r="V145" s="3">
        <f t="shared" si="18"/>
        <v>0.1</v>
      </c>
      <c r="W145">
        <f t="shared" si="19"/>
        <v>3068.55</v>
      </c>
      <c r="X145">
        <f t="shared" si="20"/>
        <v>1152.3900000000001</v>
      </c>
      <c r="Y145" s="4">
        <f t="shared" si="21"/>
        <v>0.3755487119323459</v>
      </c>
      <c r="Z145">
        <f t="shared" si="22"/>
        <v>2</v>
      </c>
      <c r="AA145">
        <f t="shared" si="23"/>
        <v>3</v>
      </c>
      <c r="AB145">
        <f t="shared" si="24"/>
        <v>2024</v>
      </c>
      <c r="AC145" t="str">
        <f t="shared" si="25"/>
        <v>Unique</v>
      </c>
      <c r="AD145" t="str">
        <f t="shared" si="26"/>
        <v>Clean</v>
      </c>
    </row>
    <row r="146" spans="1:30" x14ac:dyDescent="0.3">
      <c r="A146" t="s">
        <v>552</v>
      </c>
      <c r="B146" s="2">
        <v>45450</v>
      </c>
      <c r="C146" s="2">
        <v>45458</v>
      </c>
      <c r="D146" t="s">
        <v>553</v>
      </c>
      <c r="E146" t="s">
        <v>274</v>
      </c>
      <c r="F146" t="s">
        <v>46</v>
      </c>
      <c r="G146" t="s">
        <v>63</v>
      </c>
      <c r="H146" t="s">
        <v>64</v>
      </c>
      <c r="I146" t="s">
        <v>65</v>
      </c>
      <c r="J146" t="s">
        <v>83</v>
      </c>
      <c r="K146" t="s">
        <v>84</v>
      </c>
      <c r="L146" t="s">
        <v>554</v>
      </c>
      <c r="M146" t="s">
        <v>59</v>
      </c>
      <c r="N146">
        <v>7</v>
      </c>
      <c r="O146">
        <v>2147.9899999999998</v>
      </c>
      <c r="P146" s="3">
        <v>0.25</v>
      </c>
      <c r="Q146">
        <v>11276.95</v>
      </c>
      <c r="R146">
        <v>6908.76</v>
      </c>
      <c r="S146">
        <v>4368.1899999999996</v>
      </c>
      <c r="T146" t="s">
        <v>111</v>
      </c>
      <c r="U146" t="s">
        <v>112</v>
      </c>
      <c r="V146" s="3">
        <f t="shared" si="18"/>
        <v>0.25</v>
      </c>
      <c r="W146">
        <f t="shared" si="19"/>
        <v>11276.947499999998</v>
      </c>
      <c r="X146">
        <f t="shared" si="20"/>
        <v>4368.1874999999982</v>
      </c>
      <c r="Y146" s="4">
        <f t="shared" si="21"/>
        <v>0.38735548782150481</v>
      </c>
      <c r="Z146">
        <f t="shared" si="22"/>
        <v>8</v>
      </c>
      <c r="AA146">
        <f t="shared" si="23"/>
        <v>6</v>
      </c>
      <c r="AB146">
        <f t="shared" si="24"/>
        <v>2024</v>
      </c>
      <c r="AC146" t="str">
        <f t="shared" si="25"/>
        <v>Unique</v>
      </c>
      <c r="AD146" t="str">
        <f t="shared" si="26"/>
        <v>Clean</v>
      </c>
    </row>
    <row r="147" spans="1:30" x14ac:dyDescent="0.3">
      <c r="A147" t="s">
        <v>555</v>
      </c>
      <c r="B147" s="2">
        <v>45758</v>
      </c>
      <c r="C147" s="2">
        <v>45760</v>
      </c>
      <c r="D147" t="s">
        <v>556</v>
      </c>
      <c r="E147" t="s">
        <v>45</v>
      </c>
      <c r="F147" t="s">
        <v>46</v>
      </c>
      <c r="G147" t="s">
        <v>72</v>
      </c>
      <c r="H147" t="s">
        <v>199</v>
      </c>
      <c r="I147" t="s">
        <v>200</v>
      </c>
      <c r="J147" t="s">
        <v>37</v>
      </c>
      <c r="K147" t="s">
        <v>38</v>
      </c>
      <c r="L147" t="s">
        <v>557</v>
      </c>
      <c r="M147" t="s">
        <v>68</v>
      </c>
      <c r="N147">
        <v>4</v>
      </c>
      <c r="O147">
        <v>4182.1499999999996</v>
      </c>
      <c r="P147" s="3">
        <v>0.1</v>
      </c>
      <c r="Q147">
        <v>15055.74</v>
      </c>
      <c r="R147">
        <v>9808.83</v>
      </c>
      <c r="S147">
        <v>5246.91</v>
      </c>
      <c r="T147" t="s">
        <v>41</v>
      </c>
      <c r="U147" t="s">
        <v>42</v>
      </c>
      <c r="V147" s="3">
        <f t="shared" si="18"/>
        <v>0.1</v>
      </c>
      <c r="W147">
        <f t="shared" si="19"/>
        <v>15055.74</v>
      </c>
      <c r="X147">
        <f t="shared" si="20"/>
        <v>5246.91</v>
      </c>
      <c r="Y147" s="4">
        <f t="shared" si="21"/>
        <v>0.34849897779850075</v>
      </c>
      <c r="Z147">
        <f t="shared" si="22"/>
        <v>2</v>
      </c>
      <c r="AA147">
        <f t="shared" si="23"/>
        <v>4</v>
      </c>
      <c r="AB147">
        <f t="shared" si="24"/>
        <v>2025</v>
      </c>
      <c r="AC147" t="str">
        <f t="shared" si="25"/>
        <v>Unique</v>
      </c>
      <c r="AD147" t="str">
        <f t="shared" si="26"/>
        <v>Clean</v>
      </c>
    </row>
    <row r="148" spans="1:30" x14ac:dyDescent="0.3">
      <c r="A148" t="s">
        <v>558</v>
      </c>
      <c r="B148" s="2">
        <v>45868</v>
      </c>
      <c r="C148" s="2">
        <v>45870</v>
      </c>
      <c r="D148" t="s">
        <v>559</v>
      </c>
      <c r="E148" t="s">
        <v>141</v>
      </c>
      <c r="F148" t="s">
        <v>46</v>
      </c>
      <c r="G148" t="s">
        <v>63</v>
      </c>
      <c r="H148" t="s">
        <v>257</v>
      </c>
      <c r="I148" t="s">
        <v>258</v>
      </c>
      <c r="J148" t="s">
        <v>37</v>
      </c>
      <c r="K148" t="s">
        <v>133</v>
      </c>
      <c r="L148" t="s">
        <v>560</v>
      </c>
      <c r="M148" t="s">
        <v>53</v>
      </c>
      <c r="N148">
        <v>9</v>
      </c>
      <c r="O148">
        <v>3165.43</v>
      </c>
      <c r="P148" s="3">
        <v>0.1</v>
      </c>
      <c r="Q148">
        <v>25639.98</v>
      </c>
      <c r="R148">
        <v>21635.08</v>
      </c>
      <c r="S148">
        <v>4004.9</v>
      </c>
      <c r="T148" t="s">
        <v>41</v>
      </c>
      <c r="U148" t="s">
        <v>42</v>
      </c>
      <c r="V148" s="3">
        <f t="shared" si="18"/>
        <v>0.1</v>
      </c>
      <c r="W148">
        <f t="shared" si="19"/>
        <v>25639.983</v>
      </c>
      <c r="X148">
        <f t="shared" si="20"/>
        <v>4004.9029999999984</v>
      </c>
      <c r="Y148" s="4">
        <f t="shared" si="21"/>
        <v>0.1561975684617263</v>
      </c>
      <c r="Z148">
        <f t="shared" si="22"/>
        <v>2</v>
      </c>
      <c r="AA148">
        <f t="shared" si="23"/>
        <v>7</v>
      </c>
      <c r="AB148">
        <f t="shared" si="24"/>
        <v>2025</v>
      </c>
      <c r="AC148" t="str">
        <f t="shared" si="25"/>
        <v>Unique</v>
      </c>
      <c r="AD148" t="str">
        <f t="shared" si="26"/>
        <v>Clean</v>
      </c>
    </row>
    <row r="149" spans="1:30" x14ac:dyDescent="0.3">
      <c r="A149" t="s">
        <v>561</v>
      </c>
      <c r="B149" s="2">
        <v>45649</v>
      </c>
      <c r="C149" s="2">
        <v>45656</v>
      </c>
      <c r="D149" t="s">
        <v>562</v>
      </c>
      <c r="E149" t="s">
        <v>123</v>
      </c>
      <c r="F149" t="s">
        <v>104</v>
      </c>
      <c r="G149" t="s">
        <v>72</v>
      </c>
      <c r="H149" t="s">
        <v>199</v>
      </c>
      <c r="I149" t="s">
        <v>200</v>
      </c>
      <c r="J149" t="s">
        <v>50</v>
      </c>
      <c r="K149" t="s">
        <v>66</v>
      </c>
      <c r="L149" t="s">
        <v>563</v>
      </c>
      <c r="M149" t="s">
        <v>59</v>
      </c>
      <c r="N149">
        <v>8</v>
      </c>
      <c r="O149">
        <v>386.1</v>
      </c>
      <c r="P149" s="3">
        <v>0.1</v>
      </c>
      <c r="Q149">
        <v>2779.92</v>
      </c>
      <c r="R149">
        <v>1744.05</v>
      </c>
      <c r="S149">
        <v>1035.8699999999999</v>
      </c>
      <c r="T149" t="s">
        <v>41</v>
      </c>
      <c r="U149" t="s">
        <v>42</v>
      </c>
      <c r="V149" s="3">
        <f t="shared" si="18"/>
        <v>0.1</v>
      </c>
      <c r="W149">
        <f t="shared" si="19"/>
        <v>2779.92</v>
      </c>
      <c r="X149">
        <f t="shared" si="20"/>
        <v>1035.8700000000001</v>
      </c>
      <c r="Y149" s="4">
        <f t="shared" si="21"/>
        <v>0.37262583095916435</v>
      </c>
      <c r="Z149">
        <f t="shared" si="22"/>
        <v>7</v>
      </c>
      <c r="AA149">
        <f t="shared" si="23"/>
        <v>12</v>
      </c>
      <c r="AB149">
        <f t="shared" si="24"/>
        <v>2024</v>
      </c>
      <c r="AC149" t="str">
        <f t="shared" si="25"/>
        <v>Unique</v>
      </c>
      <c r="AD149" t="str">
        <f t="shared" si="26"/>
        <v>Clean</v>
      </c>
    </row>
    <row r="150" spans="1:30" x14ac:dyDescent="0.3">
      <c r="A150" t="s">
        <v>564</v>
      </c>
      <c r="B150" s="2">
        <v>45697</v>
      </c>
      <c r="C150" s="2">
        <v>45701</v>
      </c>
      <c r="D150" t="s">
        <v>565</v>
      </c>
      <c r="E150" t="s">
        <v>45</v>
      </c>
      <c r="F150" t="s">
        <v>104</v>
      </c>
      <c r="G150" t="s">
        <v>72</v>
      </c>
      <c r="H150" t="s">
        <v>81</v>
      </c>
      <c r="I150" t="s">
        <v>82</v>
      </c>
      <c r="J150" t="s">
        <v>83</v>
      </c>
      <c r="K150" t="s">
        <v>180</v>
      </c>
      <c r="L150" t="s">
        <v>566</v>
      </c>
      <c r="M150" t="s">
        <v>214</v>
      </c>
      <c r="N150">
        <v>8</v>
      </c>
      <c r="O150">
        <v>1696.07</v>
      </c>
      <c r="P150" s="3">
        <v>0.25</v>
      </c>
      <c r="Q150">
        <v>10176.42</v>
      </c>
      <c r="R150">
        <v>7604.47</v>
      </c>
      <c r="S150">
        <v>2571.9499999999998</v>
      </c>
      <c r="T150" t="s">
        <v>41</v>
      </c>
      <c r="U150" t="s">
        <v>42</v>
      </c>
      <c r="V150" s="3">
        <f t="shared" si="18"/>
        <v>0.25</v>
      </c>
      <c r="W150">
        <f t="shared" si="19"/>
        <v>10176.42</v>
      </c>
      <c r="X150">
        <f t="shared" si="20"/>
        <v>2571.9499999999998</v>
      </c>
      <c r="Y150" s="4">
        <f t="shared" si="21"/>
        <v>0.252736227474888</v>
      </c>
      <c r="Z150">
        <f t="shared" si="22"/>
        <v>4</v>
      </c>
      <c r="AA150">
        <f t="shared" si="23"/>
        <v>2</v>
      </c>
      <c r="AB150">
        <f t="shared" si="24"/>
        <v>2025</v>
      </c>
      <c r="AC150" t="str">
        <f t="shared" si="25"/>
        <v>Unique</v>
      </c>
      <c r="AD150" t="str">
        <f t="shared" si="26"/>
        <v>Warning</v>
      </c>
    </row>
    <row r="151" spans="1:30" x14ac:dyDescent="0.3">
      <c r="A151" t="s">
        <v>567</v>
      </c>
      <c r="B151" s="2">
        <v>45321</v>
      </c>
      <c r="C151" s="2">
        <v>45321</v>
      </c>
      <c r="D151" t="s">
        <v>568</v>
      </c>
      <c r="E151" t="s">
        <v>137</v>
      </c>
      <c r="F151" t="s">
        <v>46</v>
      </c>
      <c r="G151" t="s">
        <v>72</v>
      </c>
      <c r="H151" t="s">
        <v>35</v>
      </c>
      <c r="I151" t="s">
        <v>118</v>
      </c>
      <c r="J151" t="s">
        <v>83</v>
      </c>
      <c r="K151" t="s">
        <v>89</v>
      </c>
      <c r="L151" t="s">
        <v>569</v>
      </c>
      <c r="M151" t="s">
        <v>53</v>
      </c>
      <c r="N151">
        <v>7</v>
      </c>
      <c r="O151">
        <v>2527.61</v>
      </c>
      <c r="P151" s="3">
        <v>0.25</v>
      </c>
      <c r="Q151">
        <v>13269.95</v>
      </c>
      <c r="R151">
        <v>8977.1</v>
      </c>
      <c r="S151">
        <v>4292.8500000000004</v>
      </c>
      <c r="T151" t="s">
        <v>41</v>
      </c>
      <c r="U151" t="s">
        <v>42</v>
      </c>
      <c r="V151" s="3">
        <f t="shared" si="18"/>
        <v>0.25</v>
      </c>
      <c r="W151">
        <f t="shared" si="19"/>
        <v>13269.952499999999</v>
      </c>
      <c r="X151">
        <f t="shared" si="20"/>
        <v>4292.8524999999991</v>
      </c>
      <c r="Y151" s="4">
        <f t="shared" si="21"/>
        <v>0.32350172315989822</v>
      </c>
      <c r="Z151">
        <f t="shared" si="22"/>
        <v>0</v>
      </c>
      <c r="AA151">
        <f t="shared" si="23"/>
        <v>1</v>
      </c>
      <c r="AB151">
        <f t="shared" si="24"/>
        <v>2024</v>
      </c>
      <c r="AC151" t="str">
        <f t="shared" si="25"/>
        <v>Unique</v>
      </c>
      <c r="AD151" t="str">
        <f t="shared" si="26"/>
        <v>Clean</v>
      </c>
    </row>
    <row r="152" spans="1:30" x14ac:dyDescent="0.3">
      <c r="A152" t="s">
        <v>570</v>
      </c>
      <c r="B152" s="2">
        <v>45355</v>
      </c>
      <c r="C152" s="2">
        <v>45363</v>
      </c>
      <c r="D152" t="s">
        <v>571</v>
      </c>
      <c r="E152" t="s">
        <v>62</v>
      </c>
      <c r="F152" t="s">
        <v>33</v>
      </c>
      <c r="G152" t="s">
        <v>214</v>
      </c>
      <c r="H152" t="s">
        <v>189</v>
      </c>
      <c r="I152" t="s">
        <v>190</v>
      </c>
      <c r="J152" t="s">
        <v>50</v>
      </c>
      <c r="K152" t="s">
        <v>167</v>
      </c>
      <c r="L152" t="s">
        <v>572</v>
      </c>
      <c r="M152" t="s">
        <v>59</v>
      </c>
      <c r="N152">
        <v>1</v>
      </c>
      <c r="O152">
        <v>1554.12</v>
      </c>
      <c r="P152" s="3">
        <v>0.1</v>
      </c>
      <c r="Q152">
        <v>1398.71</v>
      </c>
      <c r="R152">
        <v>1056.92</v>
      </c>
      <c r="S152">
        <v>341.79</v>
      </c>
      <c r="T152" t="s">
        <v>41</v>
      </c>
      <c r="U152" t="s">
        <v>42</v>
      </c>
      <c r="V152" s="3">
        <f t="shared" si="18"/>
        <v>0.1</v>
      </c>
      <c r="W152">
        <f t="shared" si="19"/>
        <v>1398.7079999999999</v>
      </c>
      <c r="X152">
        <f t="shared" si="20"/>
        <v>341.78799999999978</v>
      </c>
      <c r="Y152" s="4">
        <f t="shared" si="21"/>
        <v>0.24435979489643286</v>
      </c>
      <c r="Z152">
        <f t="shared" si="22"/>
        <v>8</v>
      </c>
      <c r="AA152">
        <f t="shared" si="23"/>
        <v>3</v>
      </c>
      <c r="AB152">
        <f t="shared" si="24"/>
        <v>2024</v>
      </c>
      <c r="AC152" t="str">
        <f t="shared" si="25"/>
        <v>Unique</v>
      </c>
      <c r="AD152" t="str">
        <f t="shared" si="26"/>
        <v>Warning</v>
      </c>
    </row>
    <row r="153" spans="1:30" x14ac:dyDescent="0.3">
      <c r="A153" t="s">
        <v>573</v>
      </c>
      <c r="B153" s="2">
        <v>45470</v>
      </c>
      <c r="C153" s="2">
        <v>45470</v>
      </c>
      <c r="D153" t="s">
        <v>574</v>
      </c>
      <c r="E153" t="s">
        <v>88</v>
      </c>
      <c r="F153" t="s">
        <v>104</v>
      </c>
      <c r="G153" t="s">
        <v>214</v>
      </c>
      <c r="H153" t="s">
        <v>81</v>
      </c>
      <c r="I153" t="s">
        <v>82</v>
      </c>
      <c r="J153" t="s">
        <v>83</v>
      </c>
      <c r="K153" t="s">
        <v>89</v>
      </c>
      <c r="L153" t="s">
        <v>575</v>
      </c>
      <c r="M153" t="s">
        <v>68</v>
      </c>
      <c r="N153">
        <v>2</v>
      </c>
      <c r="O153">
        <v>3859.11</v>
      </c>
      <c r="P153" s="3">
        <v>0</v>
      </c>
      <c r="Q153">
        <v>7718.22</v>
      </c>
      <c r="R153">
        <v>5355.93</v>
      </c>
      <c r="S153">
        <v>2362.29</v>
      </c>
      <c r="T153" t="s">
        <v>120</v>
      </c>
      <c r="U153" t="s">
        <v>112</v>
      </c>
      <c r="V153" s="3">
        <f t="shared" si="18"/>
        <v>0</v>
      </c>
      <c r="W153">
        <f t="shared" si="19"/>
        <v>7718.22</v>
      </c>
      <c r="X153">
        <f t="shared" si="20"/>
        <v>2362.29</v>
      </c>
      <c r="Y153" s="4">
        <f t="shared" si="21"/>
        <v>0.30606668376905555</v>
      </c>
      <c r="Z153">
        <f t="shared" si="22"/>
        <v>0</v>
      </c>
      <c r="AA153">
        <f t="shared" si="23"/>
        <v>6</v>
      </c>
      <c r="AB153">
        <f t="shared" si="24"/>
        <v>2024</v>
      </c>
      <c r="AC153" t="str">
        <f t="shared" si="25"/>
        <v>Unique</v>
      </c>
      <c r="AD153" t="str">
        <f t="shared" si="26"/>
        <v>Warning</v>
      </c>
    </row>
    <row r="154" spans="1:30" x14ac:dyDescent="0.3">
      <c r="A154" t="s">
        <v>576</v>
      </c>
      <c r="B154" s="2">
        <v>45457</v>
      </c>
      <c r="C154" s="2">
        <v>45460</v>
      </c>
      <c r="D154" t="s">
        <v>577</v>
      </c>
      <c r="E154" t="s">
        <v>274</v>
      </c>
      <c r="F154" t="s">
        <v>46</v>
      </c>
      <c r="G154" t="s">
        <v>63</v>
      </c>
      <c r="H154" t="s">
        <v>194</v>
      </c>
      <c r="I154" t="s">
        <v>195</v>
      </c>
      <c r="J154" t="s">
        <v>50</v>
      </c>
      <c r="K154" t="s">
        <v>51</v>
      </c>
      <c r="L154" t="s">
        <v>578</v>
      </c>
      <c r="M154" t="s">
        <v>40</v>
      </c>
      <c r="N154">
        <v>6</v>
      </c>
      <c r="O154">
        <v>1088.04</v>
      </c>
      <c r="P154" s="3">
        <v>0.1</v>
      </c>
      <c r="Q154">
        <v>5875.42</v>
      </c>
      <c r="R154">
        <v>4380.55</v>
      </c>
      <c r="S154">
        <v>1494.87</v>
      </c>
      <c r="T154" t="s">
        <v>120</v>
      </c>
      <c r="U154" t="s">
        <v>112</v>
      </c>
      <c r="V154" s="3">
        <f t="shared" si="18"/>
        <v>0.1</v>
      </c>
      <c r="W154">
        <f t="shared" si="19"/>
        <v>5875.4160000000002</v>
      </c>
      <c r="X154">
        <f t="shared" si="20"/>
        <v>1494.866</v>
      </c>
      <c r="Y154" s="4">
        <f t="shared" si="21"/>
        <v>0.25442726098032886</v>
      </c>
      <c r="Z154">
        <f t="shared" si="22"/>
        <v>3</v>
      </c>
      <c r="AA154">
        <f t="shared" si="23"/>
        <v>6</v>
      </c>
      <c r="AB154">
        <f t="shared" si="24"/>
        <v>2024</v>
      </c>
      <c r="AC154" t="str">
        <f t="shared" si="25"/>
        <v>Unique</v>
      </c>
      <c r="AD154" t="str">
        <f t="shared" si="26"/>
        <v>Clean</v>
      </c>
    </row>
    <row r="155" spans="1:30" x14ac:dyDescent="0.3">
      <c r="A155" t="s">
        <v>579</v>
      </c>
      <c r="B155" s="2">
        <v>45923</v>
      </c>
      <c r="C155" s="2">
        <v>45925</v>
      </c>
      <c r="D155" t="s">
        <v>580</v>
      </c>
      <c r="E155" t="s">
        <v>98</v>
      </c>
      <c r="F155" t="s">
        <v>33</v>
      </c>
      <c r="G155" t="s">
        <v>47</v>
      </c>
      <c r="H155" t="s">
        <v>48</v>
      </c>
      <c r="I155" t="s">
        <v>49</v>
      </c>
      <c r="J155" t="s">
        <v>37</v>
      </c>
      <c r="K155" t="s">
        <v>100</v>
      </c>
      <c r="L155" t="s">
        <v>581</v>
      </c>
      <c r="M155" t="s">
        <v>68</v>
      </c>
      <c r="N155">
        <v>7</v>
      </c>
      <c r="O155">
        <v>3280.31</v>
      </c>
      <c r="P155" s="3">
        <v>0</v>
      </c>
      <c r="Q155">
        <v>22962.17</v>
      </c>
      <c r="R155">
        <v>15716.5</v>
      </c>
      <c r="S155">
        <v>7245.67</v>
      </c>
      <c r="T155" t="s">
        <v>111</v>
      </c>
      <c r="U155" t="s">
        <v>112</v>
      </c>
      <c r="V155" s="3">
        <f t="shared" si="18"/>
        <v>0</v>
      </c>
      <c r="W155">
        <f t="shared" si="19"/>
        <v>22962.17</v>
      </c>
      <c r="X155">
        <f t="shared" si="20"/>
        <v>7245.6699999999983</v>
      </c>
      <c r="Y155" s="4">
        <f t="shared" si="21"/>
        <v>0.31554813852523517</v>
      </c>
      <c r="Z155">
        <f t="shared" si="22"/>
        <v>2</v>
      </c>
      <c r="AA155">
        <f t="shared" si="23"/>
        <v>9</v>
      </c>
      <c r="AB155">
        <f t="shared" si="24"/>
        <v>2025</v>
      </c>
      <c r="AC155" t="str">
        <f t="shared" si="25"/>
        <v>Unique</v>
      </c>
      <c r="AD155" t="str">
        <f t="shared" si="26"/>
        <v>Clean</v>
      </c>
    </row>
    <row r="156" spans="1:30" x14ac:dyDescent="0.3">
      <c r="A156" t="s">
        <v>582</v>
      </c>
      <c r="B156" s="2">
        <v>45334</v>
      </c>
      <c r="C156" s="2">
        <v>45333</v>
      </c>
      <c r="D156" t="s">
        <v>465</v>
      </c>
      <c r="E156" t="s">
        <v>123</v>
      </c>
      <c r="F156" t="s">
        <v>33</v>
      </c>
      <c r="G156" t="s">
        <v>63</v>
      </c>
      <c r="H156" t="s">
        <v>257</v>
      </c>
      <c r="I156" t="s">
        <v>258</v>
      </c>
      <c r="J156" t="s">
        <v>50</v>
      </c>
      <c r="K156" t="s">
        <v>167</v>
      </c>
      <c r="L156" t="s">
        <v>583</v>
      </c>
      <c r="M156" t="s">
        <v>53</v>
      </c>
      <c r="N156">
        <v>1</v>
      </c>
      <c r="O156">
        <v>2599.12</v>
      </c>
      <c r="P156" s="3">
        <v>0.15</v>
      </c>
      <c r="Q156">
        <v>2209.25</v>
      </c>
      <c r="R156">
        <v>1523.78</v>
      </c>
      <c r="S156">
        <v>685.47</v>
      </c>
      <c r="T156" t="s">
        <v>41</v>
      </c>
      <c r="U156" t="s">
        <v>42</v>
      </c>
      <c r="V156" s="3">
        <f t="shared" si="18"/>
        <v>0.15</v>
      </c>
      <c r="W156">
        <f t="shared" si="19"/>
        <v>2209.252</v>
      </c>
      <c r="X156">
        <f t="shared" si="20"/>
        <v>685.47199999999998</v>
      </c>
      <c r="Y156" s="4">
        <f t="shared" si="21"/>
        <v>0.31027334138432372</v>
      </c>
      <c r="Z156">
        <f t="shared" si="22"/>
        <v>-1</v>
      </c>
      <c r="AA156">
        <f t="shared" si="23"/>
        <v>2</v>
      </c>
      <c r="AB156">
        <f t="shared" si="24"/>
        <v>2024</v>
      </c>
      <c r="AC156" t="str">
        <f t="shared" si="25"/>
        <v>Unique</v>
      </c>
      <c r="AD156" t="str">
        <f t="shared" si="26"/>
        <v>Invalid</v>
      </c>
    </row>
    <row r="157" spans="1:30" x14ac:dyDescent="0.3">
      <c r="A157" t="s">
        <v>584</v>
      </c>
      <c r="B157" s="2">
        <v>45683</v>
      </c>
      <c r="C157" s="2">
        <v>45691</v>
      </c>
      <c r="D157" t="s">
        <v>585</v>
      </c>
      <c r="E157" t="s">
        <v>32</v>
      </c>
      <c r="F157" t="s">
        <v>99</v>
      </c>
      <c r="G157" t="s">
        <v>72</v>
      </c>
      <c r="H157" t="s">
        <v>35</v>
      </c>
      <c r="I157" t="s">
        <v>118</v>
      </c>
      <c r="J157" t="s">
        <v>50</v>
      </c>
      <c r="K157" t="s">
        <v>66</v>
      </c>
      <c r="L157" t="s">
        <v>586</v>
      </c>
      <c r="M157" t="s">
        <v>53</v>
      </c>
      <c r="N157">
        <v>3</v>
      </c>
      <c r="O157">
        <v>2859.32</v>
      </c>
      <c r="P157" s="3">
        <v>0.1</v>
      </c>
      <c r="Q157">
        <v>7720.16</v>
      </c>
      <c r="R157">
        <v>5881</v>
      </c>
      <c r="S157">
        <v>1839.16</v>
      </c>
      <c r="T157" t="s">
        <v>111</v>
      </c>
      <c r="U157" t="s">
        <v>112</v>
      </c>
      <c r="V157" s="3">
        <f t="shared" si="18"/>
        <v>0.1</v>
      </c>
      <c r="W157">
        <f t="shared" si="19"/>
        <v>7720.1640000000007</v>
      </c>
      <c r="X157">
        <f t="shared" si="20"/>
        <v>1839.1640000000007</v>
      </c>
      <c r="Y157" s="4">
        <f t="shared" si="21"/>
        <v>0.23822861794127695</v>
      </c>
      <c r="Z157">
        <f t="shared" si="22"/>
        <v>8</v>
      </c>
      <c r="AA157">
        <f t="shared" si="23"/>
        <v>1</v>
      </c>
      <c r="AB157">
        <f t="shared" si="24"/>
        <v>2025</v>
      </c>
      <c r="AC157" t="str">
        <f t="shared" si="25"/>
        <v>Unique</v>
      </c>
      <c r="AD157" t="str">
        <f t="shared" si="26"/>
        <v>Clean</v>
      </c>
    </row>
    <row r="158" spans="1:30" x14ac:dyDescent="0.3">
      <c r="A158" t="s">
        <v>587</v>
      </c>
      <c r="B158" s="2">
        <v>45743</v>
      </c>
      <c r="C158" s="2">
        <v>45743</v>
      </c>
      <c r="D158" t="s">
        <v>588</v>
      </c>
      <c r="E158" t="s">
        <v>80</v>
      </c>
      <c r="F158" t="s">
        <v>46</v>
      </c>
      <c r="G158" t="s">
        <v>47</v>
      </c>
      <c r="H158" t="s">
        <v>154</v>
      </c>
      <c r="I158" t="s">
        <v>155</v>
      </c>
      <c r="J158" t="s">
        <v>83</v>
      </c>
      <c r="K158" t="s">
        <v>284</v>
      </c>
      <c r="L158" t="s">
        <v>589</v>
      </c>
      <c r="M158" t="s">
        <v>40</v>
      </c>
      <c r="N158">
        <v>7</v>
      </c>
      <c r="O158">
        <v>2305.37</v>
      </c>
      <c r="P158" s="3">
        <v>0.25</v>
      </c>
      <c r="Q158">
        <v>12103.19</v>
      </c>
      <c r="R158">
        <v>6717.87</v>
      </c>
      <c r="S158">
        <v>5385.32</v>
      </c>
      <c r="T158" t="s">
        <v>41</v>
      </c>
      <c r="U158" t="s">
        <v>42</v>
      </c>
      <c r="V158" s="3">
        <f t="shared" si="18"/>
        <v>0.25</v>
      </c>
      <c r="W158">
        <f t="shared" si="19"/>
        <v>12103.192500000001</v>
      </c>
      <c r="X158">
        <f t="shared" si="20"/>
        <v>5385.3225000000011</v>
      </c>
      <c r="Y158" s="4">
        <f t="shared" si="21"/>
        <v>0.44495057812225997</v>
      </c>
      <c r="Z158">
        <f t="shared" si="22"/>
        <v>0</v>
      </c>
      <c r="AA158">
        <f t="shared" si="23"/>
        <v>3</v>
      </c>
      <c r="AB158">
        <f t="shared" si="24"/>
        <v>2025</v>
      </c>
      <c r="AC158" t="str">
        <f t="shared" si="25"/>
        <v>Unique</v>
      </c>
      <c r="AD158" t="str">
        <f t="shared" si="26"/>
        <v>Clean</v>
      </c>
    </row>
    <row r="159" spans="1:30" x14ac:dyDescent="0.3">
      <c r="A159" t="s">
        <v>590</v>
      </c>
      <c r="B159" s="2">
        <v>45587</v>
      </c>
      <c r="C159" s="2">
        <v>45589</v>
      </c>
      <c r="D159" t="s">
        <v>591</v>
      </c>
      <c r="E159" t="s">
        <v>150</v>
      </c>
      <c r="F159" t="s">
        <v>46</v>
      </c>
      <c r="G159" t="s">
        <v>63</v>
      </c>
      <c r="H159" t="s">
        <v>93</v>
      </c>
      <c r="I159" t="s">
        <v>94</v>
      </c>
      <c r="J159" t="s">
        <v>50</v>
      </c>
      <c r="K159" t="s">
        <v>167</v>
      </c>
      <c r="L159" t="s">
        <v>592</v>
      </c>
      <c r="M159" t="s">
        <v>68</v>
      </c>
      <c r="N159">
        <v>3</v>
      </c>
      <c r="O159">
        <v>915.84</v>
      </c>
      <c r="P159" s="3">
        <v>0.15</v>
      </c>
      <c r="Q159">
        <v>2335.39</v>
      </c>
      <c r="R159">
        <v>1466.15</v>
      </c>
      <c r="S159">
        <v>869.24</v>
      </c>
      <c r="T159" t="s">
        <v>41</v>
      </c>
      <c r="U159" t="s">
        <v>42</v>
      </c>
      <c r="V159" s="3">
        <f t="shared" si="18"/>
        <v>0.15</v>
      </c>
      <c r="W159">
        <f t="shared" si="19"/>
        <v>2335.3919999999998</v>
      </c>
      <c r="X159">
        <f t="shared" si="20"/>
        <v>869.24199999999973</v>
      </c>
      <c r="Y159" s="4">
        <f t="shared" si="21"/>
        <v>0.3722038955344541</v>
      </c>
      <c r="Z159">
        <f t="shared" si="22"/>
        <v>2</v>
      </c>
      <c r="AA159">
        <f t="shared" si="23"/>
        <v>10</v>
      </c>
      <c r="AB159">
        <f t="shared" si="24"/>
        <v>2024</v>
      </c>
      <c r="AC159" t="str">
        <f t="shared" si="25"/>
        <v>Unique</v>
      </c>
      <c r="AD159" t="str">
        <f t="shared" si="26"/>
        <v>Clean</v>
      </c>
    </row>
    <row r="160" spans="1:30" x14ac:dyDescent="0.3">
      <c r="A160" t="s">
        <v>593</v>
      </c>
      <c r="B160" s="2">
        <v>45544</v>
      </c>
      <c r="C160" s="2">
        <v>45546</v>
      </c>
      <c r="D160" t="s">
        <v>594</v>
      </c>
      <c r="E160" t="s">
        <v>88</v>
      </c>
      <c r="F160" t="s">
        <v>104</v>
      </c>
      <c r="G160" t="s">
        <v>63</v>
      </c>
      <c r="H160" t="s">
        <v>64</v>
      </c>
      <c r="I160" t="s">
        <v>65</v>
      </c>
      <c r="J160" t="s">
        <v>50</v>
      </c>
      <c r="K160" t="s">
        <v>167</v>
      </c>
      <c r="L160" t="s">
        <v>595</v>
      </c>
      <c r="M160" t="s">
        <v>59</v>
      </c>
      <c r="N160">
        <v>1</v>
      </c>
      <c r="O160">
        <v>4199.54</v>
      </c>
      <c r="P160" s="3">
        <v>0.05</v>
      </c>
      <c r="Q160">
        <v>3989.56</v>
      </c>
      <c r="R160">
        <v>2381.38</v>
      </c>
      <c r="S160">
        <v>1608.18</v>
      </c>
      <c r="T160" t="s">
        <v>41</v>
      </c>
      <c r="U160" t="s">
        <v>42</v>
      </c>
      <c r="V160" s="3">
        <f t="shared" si="18"/>
        <v>0.05</v>
      </c>
      <c r="W160">
        <f t="shared" si="19"/>
        <v>3989.5629999999996</v>
      </c>
      <c r="X160">
        <f t="shared" si="20"/>
        <v>1608.1829999999995</v>
      </c>
      <c r="Y160" s="4">
        <f t="shared" si="21"/>
        <v>0.40309753223598666</v>
      </c>
      <c r="Z160">
        <f t="shared" si="22"/>
        <v>2</v>
      </c>
      <c r="AA160">
        <f t="shared" si="23"/>
        <v>9</v>
      </c>
      <c r="AB160">
        <f t="shared" si="24"/>
        <v>2024</v>
      </c>
      <c r="AC160" t="str">
        <f t="shared" si="25"/>
        <v>Unique</v>
      </c>
      <c r="AD160" t="str">
        <f t="shared" si="26"/>
        <v>Clean</v>
      </c>
    </row>
    <row r="161" spans="1:30" x14ac:dyDescent="0.3">
      <c r="A161" t="s">
        <v>596</v>
      </c>
      <c r="B161" s="2">
        <v>45687</v>
      </c>
      <c r="C161" s="2">
        <v>45692</v>
      </c>
      <c r="D161" t="s">
        <v>597</v>
      </c>
      <c r="E161" t="s">
        <v>123</v>
      </c>
      <c r="F161" t="s">
        <v>99</v>
      </c>
      <c r="G161" t="s">
        <v>34</v>
      </c>
      <c r="H161" t="s">
        <v>246</v>
      </c>
      <c r="I161" t="s">
        <v>247</v>
      </c>
      <c r="J161" t="s">
        <v>50</v>
      </c>
      <c r="K161" t="s">
        <v>75</v>
      </c>
      <c r="L161" t="s">
        <v>598</v>
      </c>
      <c r="M161" t="s">
        <v>53</v>
      </c>
      <c r="N161">
        <v>9</v>
      </c>
      <c r="O161">
        <v>4430.5</v>
      </c>
      <c r="P161" s="3">
        <v>0.15</v>
      </c>
      <c r="Q161">
        <v>33893.32</v>
      </c>
      <c r="R161">
        <v>25750.35</v>
      </c>
      <c r="S161">
        <v>8142.97</v>
      </c>
      <c r="T161" t="s">
        <v>120</v>
      </c>
      <c r="U161" t="s">
        <v>77</v>
      </c>
      <c r="V161" s="3">
        <f t="shared" si="18"/>
        <v>0.15</v>
      </c>
      <c r="W161">
        <f t="shared" si="19"/>
        <v>33893.324999999997</v>
      </c>
      <c r="X161">
        <f t="shared" si="20"/>
        <v>8142.9749999999985</v>
      </c>
      <c r="Y161" s="4">
        <f t="shared" si="21"/>
        <v>0.24025305867748292</v>
      </c>
      <c r="Z161">
        <f t="shared" si="22"/>
        <v>5</v>
      </c>
      <c r="AA161">
        <f t="shared" si="23"/>
        <v>1</v>
      </c>
      <c r="AB161">
        <f t="shared" si="24"/>
        <v>2025</v>
      </c>
      <c r="AC161" t="str">
        <f t="shared" si="25"/>
        <v>Unique</v>
      </c>
      <c r="AD161" t="str">
        <f t="shared" si="26"/>
        <v>Warning</v>
      </c>
    </row>
    <row r="162" spans="1:30" x14ac:dyDescent="0.3">
      <c r="A162" t="s">
        <v>599</v>
      </c>
      <c r="B162" s="2">
        <v>45938</v>
      </c>
      <c r="C162" s="2">
        <v>45936</v>
      </c>
      <c r="D162" t="s">
        <v>600</v>
      </c>
      <c r="E162" t="s">
        <v>80</v>
      </c>
      <c r="F162" t="s">
        <v>46</v>
      </c>
      <c r="G162" t="s">
        <v>72</v>
      </c>
      <c r="H162" t="s">
        <v>73</v>
      </c>
      <c r="I162" t="s">
        <v>74</v>
      </c>
      <c r="J162" t="s">
        <v>37</v>
      </c>
      <c r="K162" t="s">
        <v>38</v>
      </c>
      <c r="L162" t="s">
        <v>601</v>
      </c>
      <c r="M162" t="s">
        <v>40</v>
      </c>
      <c r="N162">
        <v>4</v>
      </c>
      <c r="O162">
        <v>1260.42</v>
      </c>
      <c r="P162" s="3">
        <v>0.05</v>
      </c>
      <c r="Q162">
        <v>4789.6000000000004</v>
      </c>
      <c r="R162">
        <v>4037.64</v>
      </c>
      <c r="S162">
        <v>751.96</v>
      </c>
      <c r="T162" t="s">
        <v>120</v>
      </c>
      <c r="U162" t="s">
        <v>77</v>
      </c>
      <c r="V162" s="3">
        <f t="shared" si="18"/>
        <v>0.05</v>
      </c>
      <c r="W162">
        <f t="shared" si="19"/>
        <v>4789.5960000000005</v>
      </c>
      <c r="X162">
        <f t="shared" si="20"/>
        <v>751.95600000000059</v>
      </c>
      <c r="Y162" s="4">
        <f t="shared" si="21"/>
        <v>0.1569977927157114</v>
      </c>
      <c r="Z162">
        <f t="shared" si="22"/>
        <v>-2</v>
      </c>
      <c r="AA162">
        <f t="shared" si="23"/>
        <v>10</v>
      </c>
      <c r="AB162">
        <f t="shared" si="24"/>
        <v>2025</v>
      </c>
      <c r="AC162" t="str">
        <f t="shared" si="25"/>
        <v>Unique</v>
      </c>
      <c r="AD162" t="str">
        <f t="shared" si="26"/>
        <v>Invalid</v>
      </c>
    </row>
    <row r="163" spans="1:30" x14ac:dyDescent="0.3">
      <c r="A163" t="s">
        <v>602</v>
      </c>
      <c r="B163" s="2">
        <v>45862</v>
      </c>
      <c r="C163" s="2">
        <v>45868</v>
      </c>
      <c r="D163" t="s">
        <v>603</v>
      </c>
      <c r="E163" t="s">
        <v>62</v>
      </c>
      <c r="F163" t="s">
        <v>33</v>
      </c>
      <c r="G163" t="s">
        <v>72</v>
      </c>
      <c r="H163" t="s">
        <v>35</v>
      </c>
      <c r="I163" t="s">
        <v>118</v>
      </c>
      <c r="J163" t="s">
        <v>37</v>
      </c>
      <c r="K163" t="s">
        <v>162</v>
      </c>
      <c r="L163" t="s">
        <v>604</v>
      </c>
      <c r="M163" t="s">
        <v>68</v>
      </c>
      <c r="N163">
        <v>1</v>
      </c>
      <c r="O163">
        <v>1643.41</v>
      </c>
      <c r="P163" s="3">
        <v>0</v>
      </c>
      <c r="Q163">
        <v>1643.41</v>
      </c>
      <c r="R163">
        <v>907.4</v>
      </c>
      <c r="S163">
        <v>736.01</v>
      </c>
      <c r="T163" t="s">
        <v>120</v>
      </c>
      <c r="U163" t="s">
        <v>77</v>
      </c>
      <c r="V163" s="3">
        <f t="shared" si="18"/>
        <v>0</v>
      </c>
      <c r="W163">
        <f t="shared" si="19"/>
        <v>1643.41</v>
      </c>
      <c r="X163">
        <f t="shared" si="20"/>
        <v>736.0100000000001</v>
      </c>
      <c r="Y163" s="4">
        <f t="shared" si="21"/>
        <v>0.44785537388722235</v>
      </c>
      <c r="Z163">
        <f t="shared" si="22"/>
        <v>6</v>
      </c>
      <c r="AA163">
        <f t="shared" si="23"/>
        <v>7</v>
      </c>
      <c r="AB163">
        <f t="shared" si="24"/>
        <v>2025</v>
      </c>
      <c r="AC163" t="str">
        <f t="shared" si="25"/>
        <v>Unique</v>
      </c>
      <c r="AD163" t="str">
        <f t="shared" si="26"/>
        <v>Warning</v>
      </c>
    </row>
    <row r="164" spans="1:30" x14ac:dyDescent="0.3">
      <c r="A164" t="s">
        <v>605</v>
      </c>
      <c r="B164" s="2">
        <v>45360</v>
      </c>
      <c r="C164" s="2">
        <v>45365</v>
      </c>
      <c r="D164" t="s">
        <v>606</v>
      </c>
      <c r="E164" t="s">
        <v>88</v>
      </c>
      <c r="F164" t="s">
        <v>46</v>
      </c>
      <c r="G164" t="s">
        <v>72</v>
      </c>
      <c r="H164" t="s">
        <v>199</v>
      </c>
      <c r="I164" t="s">
        <v>200</v>
      </c>
      <c r="J164" t="s">
        <v>50</v>
      </c>
      <c r="K164" t="s">
        <v>66</v>
      </c>
      <c r="L164" t="s">
        <v>607</v>
      </c>
      <c r="M164" t="s">
        <v>40</v>
      </c>
      <c r="N164">
        <v>8</v>
      </c>
      <c r="O164">
        <v>4472.84</v>
      </c>
      <c r="P164" s="3">
        <v>0</v>
      </c>
      <c r="Q164">
        <v>35997.620000000003</v>
      </c>
      <c r="R164">
        <v>26424.41</v>
      </c>
      <c r="S164">
        <v>9358.31</v>
      </c>
      <c r="T164" t="s">
        <v>120</v>
      </c>
      <c r="U164" t="s">
        <v>112</v>
      </c>
      <c r="V164" s="3">
        <f t="shared" si="18"/>
        <v>0</v>
      </c>
      <c r="W164">
        <f t="shared" si="19"/>
        <v>35782.720000000001</v>
      </c>
      <c r="X164">
        <f t="shared" si="20"/>
        <v>9358.3100000000013</v>
      </c>
      <c r="Y164" s="4">
        <f t="shared" si="21"/>
        <v>0.2615315437171909</v>
      </c>
      <c r="Z164">
        <f t="shared" si="22"/>
        <v>5</v>
      </c>
      <c r="AA164">
        <f t="shared" si="23"/>
        <v>3</v>
      </c>
      <c r="AB164">
        <f t="shared" si="24"/>
        <v>2024</v>
      </c>
      <c r="AC164" t="str">
        <f t="shared" si="25"/>
        <v>Unique</v>
      </c>
      <c r="AD164" t="str">
        <f t="shared" si="26"/>
        <v>Clean</v>
      </c>
    </row>
    <row r="165" spans="1:30" x14ac:dyDescent="0.3">
      <c r="A165" t="s">
        <v>608</v>
      </c>
      <c r="B165" s="2">
        <v>45921</v>
      </c>
      <c r="C165" s="2">
        <v>45926</v>
      </c>
      <c r="D165" t="s">
        <v>609</v>
      </c>
      <c r="E165" t="s">
        <v>150</v>
      </c>
      <c r="F165" t="s">
        <v>104</v>
      </c>
      <c r="G165" t="s">
        <v>72</v>
      </c>
      <c r="H165" t="s">
        <v>189</v>
      </c>
      <c r="I165" t="s">
        <v>190</v>
      </c>
      <c r="J165" t="s">
        <v>50</v>
      </c>
      <c r="K165" t="s">
        <v>51</v>
      </c>
      <c r="L165" t="s">
        <v>610</v>
      </c>
      <c r="M165" t="s">
        <v>214</v>
      </c>
      <c r="N165">
        <v>6</v>
      </c>
      <c r="O165">
        <v>2903.58</v>
      </c>
      <c r="P165" s="3">
        <v>0.1</v>
      </c>
      <c r="Q165">
        <v>15679.33</v>
      </c>
      <c r="R165">
        <v>12477.82</v>
      </c>
      <c r="S165">
        <v>3201.51</v>
      </c>
      <c r="T165" t="s">
        <v>120</v>
      </c>
      <c r="U165" t="s">
        <v>112</v>
      </c>
      <c r="V165" s="3">
        <f t="shared" si="18"/>
        <v>0.1</v>
      </c>
      <c r="W165">
        <f t="shared" si="19"/>
        <v>15679.332</v>
      </c>
      <c r="X165">
        <f t="shared" si="20"/>
        <v>3201.5120000000006</v>
      </c>
      <c r="Y165" s="4">
        <f t="shared" si="21"/>
        <v>0.20418675999717339</v>
      </c>
      <c r="Z165">
        <f t="shared" si="22"/>
        <v>5</v>
      </c>
      <c r="AA165">
        <f t="shared" si="23"/>
        <v>9</v>
      </c>
      <c r="AB165">
        <f t="shared" si="24"/>
        <v>2025</v>
      </c>
      <c r="AC165" t="str">
        <f t="shared" si="25"/>
        <v>Unique</v>
      </c>
      <c r="AD165" t="str">
        <f t="shared" si="26"/>
        <v>Warning</v>
      </c>
    </row>
    <row r="166" spans="1:30" x14ac:dyDescent="0.3">
      <c r="A166" t="s">
        <v>611</v>
      </c>
      <c r="B166" s="2">
        <v>45909</v>
      </c>
      <c r="C166" s="2">
        <v>45914</v>
      </c>
      <c r="D166" t="s">
        <v>612</v>
      </c>
      <c r="E166" t="s">
        <v>127</v>
      </c>
      <c r="F166" t="s">
        <v>46</v>
      </c>
      <c r="G166" t="s">
        <v>47</v>
      </c>
      <c r="H166" t="s">
        <v>108</v>
      </c>
      <c r="I166" t="s">
        <v>109</v>
      </c>
      <c r="J166" t="s">
        <v>50</v>
      </c>
      <c r="K166" t="s">
        <v>167</v>
      </c>
      <c r="L166" t="s">
        <v>613</v>
      </c>
      <c r="M166" t="s">
        <v>40</v>
      </c>
      <c r="N166">
        <v>1</v>
      </c>
      <c r="O166">
        <v>3154.42</v>
      </c>
      <c r="P166" s="3">
        <v>0.25</v>
      </c>
      <c r="Q166">
        <v>2365.8200000000002</v>
      </c>
      <c r="R166">
        <v>1547.99</v>
      </c>
      <c r="S166">
        <v>817.83</v>
      </c>
      <c r="T166" t="s">
        <v>41</v>
      </c>
      <c r="U166" t="s">
        <v>42</v>
      </c>
      <c r="V166" s="3">
        <f t="shared" si="18"/>
        <v>0.25</v>
      </c>
      <c r="W166">
        <f t="shared" si="19"/>
        <v>2365.8150000000001</v>
      </c>
      <c r="X166">
        <f t="shared" si="20"/>
        <v>817.82500000000005</v>
      </c>
      <c r="Y166" s="4">
        <f t="shared" si="21"/>
        <v>0.34568425679945392</v>
      </c>
      <c r="Z166">
        <f t="shared" si="22"/>
        <v>5</v>
      </c>
      <c r="AA166">
        <f t="shared" si="23"/>
        <v>9</v>
      </c>
      <c r="AB166">
        <f t="shared" si="24"/>
        <v>2025</v>
      </c>
      <c r="AC166" t="str">
        <f t="shared" si="25"/>
        <v>Unique</v>
      </c>
      <c r="AD166" t="str">
        <f t="shared" si="26"/>
        <v>Clean</v>
      </c>
    </row>
    <row r="167" spans="1:30" x14ac:dyDescent="0.3">
      <c r="A167" t="s">
        <v>614</v>
      </c>
      <c r="B167" s="2">
        <v>45618</v>
      </c>
      <c r="C167" s="2">
        <v>45625</v>
      </c>
      <c r="D167" t="s">
        <v>615</v>
      </c>
      <c r="E167" t="s">
        <v>45</v>
      </c>
      <c r="F167" t="s">
        <v>104</v>
      </c>
      <c r="G167" t="s">
        <v>47</v>
      </c>
      <c r="H167" t="s">
        <v>154</v>
      </c>
      <c r="I167" t="s">
        <v>155</v>
      </c>
      <c r="J167" t="s">
        <v>50</v>
      </c>
      <c r="K167" t="s">
        <v>75</v>
      </c>
      <c r="L167" t="s">
        <v>616</v>
      </c>
      <c r="M167" t="s">
        <v>68</v>
      </c>
      <c r="N167">
        <v>4</v>
      </c>
      <c r="O167">
        <v>3422.99</v>
      </c>
      <c r="P167" s="3">
        <v>0.25</v>
      </c>
      <c r="Q167">
        <v>10268.969999999999</v>
      </c>
      <c r="R167">
        <v>6470.92</v>
      </c>
      <c r="S167">
        <v>3798.05</v>
      </c>
      <c r="T167" t="s">
        <v>41</v>
      </c>
      <c r="U167" t="s">
        <v>42</v>
      </c>
      <c r="V167" s="3">
        <f t="shared" si="18"/>
        <v>0.25</v>
      </c>
      <c r="W167">
        <f t="shared" si="19"/>
        <v>10268.969999999999</v>
      </c>
      <c r="X167">
        <f t="shared" si="20"/>
        <v>3798.0499999999993</v>
      </c>
      <c r="Y167" s="4">
        <f t="shared" si="21"/>
        <v>0.36985695741637181</v>
      </c>
      <c r="Z167">
        <f t="shared" si="22"/>
        <v>7</v>
      </c>
      <c r="AA167">
        <f t="shared" si="23"/>
        <v>11</v>
      </c>
      <c r="AB167">
        <f t="shared" si="24"/>
        <v>2024</v>
      </c>
      <c r="AC167" t="str">
        <f t="shared" si="25"/>
        <v>Unique</v>
      </c>
      <c r="AD167" t="str">
        <f t="shared" si="26"/>
        <v>Clean</v>
      </c>
    </row>
    <row r="168" spans="1:30" x14ac:dyDescent="0.3">
      <c r="A168" t="s">
        <v>617</v>
      </c>
      <c r="B168" s="2">
        <v>45708</v>
      </c>
      <c r="C168" s="2">
        <v>45714</v>
      </c>
      <c r="D168" t="s">
        <v>618</v>
      </c>
      <c r="E168" t="s">
        <v>32</v>
      </c>
      <c r="F168" t="s">
        <v>46</v>
      </c>
      <c r="G168" t="s">
        <v>72</v>
      </c>
      <c r="H168" t="s">
        <v>189</v>
      </c>
      <c r="I168" t="s">
        <v>190</v>
      </c>
      <c r="J168" t="s">
        <v>37</v>
      </c>
      <c r="K168" t="s">
        <v>100</v>
      </c>
      <c r="L168" t="s">
        <v>619</v>
      </c>
      <c r="M168" t="s">
        <v>59</v>
      </c>
      <c r="N168">
        <v>1</v>
      </c>
      <c r="O168">
        <v>2557.85</v>
      </c>
      <c r="P168" s="3">
        <v>0.2</v>
      </c>
      <c r="Q168">
        <v>2046.28</v>
      </c>
      <c r="R168">
        <v>1449.54</v>
      </c>
      <c r="S168">
        <v>596.74</v>
      </c>
      <c r="T168" t="s">
        <v>41</v>
      </c>
      <c r="U168" t="s">
        <v>42</v>
      </c>
      <c r="V168" s="3">
        <f t="shared" si="18"/>
        <v>0.2</v>
      </c>
      <c r="W168">
        <f t="shared" si="19"/>
        <v>2046.28</v>
      </c>
      <c r="X168">
        <f t="shared" si="20"/>
        <v>596.74</v>
      </c>
      <c r="Y168" s="4">
        <f t="shared" si="21"/>
        <v>0.29162186992982386</v>
      </c>
      <c r="Z168">
        <f t="shared" si="22"/>
        <v>6</v>
      </c>
      <c r="AA168">
        <f t="shared" si="23"/>
        <v>2</v>
      </c>
      <c r="AB168">
        <f t="shared" si="24"/>
        <v>2025</v>
      </c>
      <c r="AC168" t="str">
        <f t="shared" si="25"/>
        <v>Unique</v>
      </c>
      <c r="AD168" t="str">
        <f t="shared" si="26"/>
        <v>Clean</v>
      </c>
    </row>
    <row r="169" spans="1:30" x14ac:dyDescent="0.3">
      <c r="A169" t="s">
        <v>620</v>
      </c>
      <c r="B169" s="2">
        <v>45887</v>
      </c>
      <c r="C169" s="2">
        <v>45887</v>
      </c>
      <c r="D169" t="s">
        <v>621</v>
      </c>
      <c r="E169" t="s">
        <v>62</v>
      </c>
      <c r="F169" t="s">
        <v>104</v>
      </c>
      <c r="G169" t="s">
        <v>63</v>
      </c>
      <c r="H169" t="s">
        <v>184</v>
      </c>
      <c r="I169" t="s">
        <v>185</v>
      </c>
      <c r="J169" t="s">
        <v>37</v>
      </c>
      <c r="K169" t="s">
        <v>133</v>
      </c>
      <c r="L169" t="s">
        <v>622</v>
      </c>
      <c r="M169" t="s">
        <v>59</v>
      </c>
      <c r="N169">
        <v>9</v>
      </c>
      <c r="O169">
        <v>3030.93</v>
      </c>
      <c r="P169" s="3">
        <v>0.15</v>
      </c>
      <c r="Q169">
        <v>23186.61</v>
      </c>
      <c r="R169">
        <v>17906.54</v>
      </c>
      <c r="S169">
        <v>5280.07</v>
      </c>
      <c r="T169" t="s">
        <v>41</v>
      </c>
      <c r="U169" t="s">
        <v>112</v>
      </c>
      <c r="V169" s="3">
        <f t="shared" si="18"/>
        <v>0.15</v>
      </c>
      <c r="W169">
        <f t="shared" si="19"/>
        <v>23186.6145</v>
      </c>
      <c r="X169">
        <f t="shared" si="20"/>
        <v>5280.0744999999988</v>
      </c>
      <c r="Y169" s="4">
        <f t="shared" si="21"/>
        <v>0.22772080417345961</v>
      </c>
      <c r="Z169">
        <f t="shared" si="22"/>
        <v>0</v>
      </c>
      <c r="AA169">
        <f t="shared" si="23"/>
        <v>8</v>
      </c>
      <c r="AB169">
        <f t="shared" si="24"/>
        <v>2025</v>
      </c>
      <c r="AC169" t="str">
        <f t="shared" si="25"/>
        <v>Unique</v>
      </c>
      <c r="AD169" t="str">
        <f t="shared" si="26"/>
        <v>Clean</v>
      </c>
    </row>
    <row r="170" spans="1:30" x14ac:dyDescent="0.3">
      <c r="A170" t="s">
        <v>623</v>
      </c>
      <c r="B170" s="2">
        <v>45677</v>
      </c>
      <c r="C170" s="2">
        <v>45680</v>
      </c>
      <c r="D170" t="s">
        <v>624</v>
      </c>
      <c r="E170" t="s">
        <v>274</v>
      </c>
      <c r="F170" t="s">
        <v>33</v>
      </c>
      <c r="G170" t="s">
        <v>72</v>
      </c>
      <c r="H170" t="s">
        <v>73</v>
      </c>
      <c r="I170" t="s">
        <v>74</v>
      </c>
      <c r="J170" t="s">
        <v>83</v>
      </c>
      <c r="K170" t="s">
        <v>84</v>
      </c>
      <c r="L170" t="s">
        <v>625</v>
      </c>
      <c r="M170" t="s">
        <v>53</v>
      </c>
      <c r="N170">
        <v>5</v>
      </c>
      <c r="O170">
        <v>639.27</v>
      </c>
      <c r="P170" s="3">
        <v>0.2</v>
      </c>
      <c r="Q170">
        <v>2557.08</v>
      </c>
      <c r="R170">
        <v>2025.69</v>
      </c>
      <c r="S170">
        <v>531.39</v>
      </c>
      <c r="T170" t="s">
        <v>41</v>
      </c>
      <c r="U170" t="s">
        <v>77</v>
      </c>
      <c r="V170" s="3">
        <f t="shared" si="18"/>
        <v>0.2</v>
      </c>
      <c r="W170">
        <f t="shared" si="19"/>
        <v>2557.08</v>
      </c>
      <c r="X170">
        <f t="shared" si="20"/>
        <v>531.38999999999987</v>
      </c>
      <c r="Y170" s="4">
        <f t="shared" si="21"/>
        <v>0.2078112534609789</v>
      </c>
      <c r="Z170">
        <f t="shared" si="22"/>
        <v>3</v>
      </c>
      <c r="AA170">
        <f t="shared" si="23"/>
        <v>1</v>
      </c>
      <c r="AB170">
        <f t="shared" si="24"/>
        <v>2025</v>
      </c>
      <c r="AC170" t="str">
        <f t="shared" si="25"/>
        <v>Unique</v>
      </c>
      <c r="AD170" t="str">
        <f t="shared" si="26"/>
        <v>Warning</v>
      </c>
    </row>
    <row r="171" spans="1:30" x14ac:dyDescent="0.3">
      <c r="A171" t="s">
        <v>626</v>
      </c>
      <c r="B171" s="2">
        <v>45913</v>
      </c>
      <c r="C171" s="2">
        <v>45913</v>
      </c>
      <c r="D171" t="s">
        <v>627</v>
      </c>
      <c r="E171" t="s">
        <v>171</v>
      </c>
      <c r="F171" t="s">
        <v>33</v>
      </c>
      <c r="G171" t="s">
        <v>47</v>
      </c>
      <c r="H171" t="s">
        <v>175</v>
      </c>
      <c r="I171" t="s">
        <v>176</v>
      </c>
      <c r="J171" t="s">
        <v>37</v>
      </c>
      <c r="K171" t="s">
        <v>57</v>
      </c>
      <c r="L171" t="s">
        <v>628</v>
      </c>
      <c r="M171" t="s">
        <v>68</v>
      </c>
      <c r="N171">
        <v>8</v>
      </c>
      <c r="O171">
        <v>733.9</v>
      </c>
      <c r="P171" s="3">
        <v>0.05</v>
      </c>
      <c r="Q171">
        <v>5577.64</v>
      </c>
      <c r="R171">
        <v>3541.29</v>
      </c>
      <c r="S171">
        <v>2036.35</v>
      </c>
      <c r="T171" t="s">
        <v>120</v>
      </c>
      <c r="U171" t="s">
        <v>112</v>
      </c>
      <c r="V171" s="3">
        <f t="shared" si="18"/>
        <v>0.05</v>
      </c>
      <c r="W171">
        <f t="shared" si="19"/>
        <v>5577.6399999999994</v>
      </c>
      <c r="X171">
        <f t="shared" si="20"/>
        <v>2036.3499999999995</v>
      </c>
      <c r="Y171" s="4">
        <f t="shared" si="21"/>
        <v>0.36509168752375548</v>
      </c>
      <c r="Z171">
        <f t="shared" si="22"/>
        <v>0</v>
      </c>
      <c r="AA171">
        <f t="shared" si="23"/>
        <v>9</v>
      </c>
      <c r="AB171">
        <f t="shared" si="24"/>
        <v>2025</v>
      </c>
      <c r="AC171" t="str">
        <f t="shared" si="25"/>
        <v>Unique</v>
      </c>
      <c r="AD171" t="str">
        <f t="shared" si="26"/>
        <v>Clean</v>
      </c>
    </row>
    <row r="172" spans="1:30" x14ac:dyDescent="0.3">
      <c r="A172" t="s">
        <v>629</v>
      </c>
      <c r="B172" s="2">
        <v>45907</v>
      </c>
      <c r="C172" s="2">
        <v>45915</v>
      </c>
      <c r="D172" t="s">
        <v>630</v>
      </c>
      <c r="E172" t="s">
        <v>150</v>
      </c>
      <c r="F172" t="s">
        <v>99</v>
      </c>
      <c r="G172" t="s">
        <v>47</v>
      </c>
      <c r="H172" t="s">
        <v>154</v>
      </c>
      <c r="I172" t="s">
        <v>155</v>
      </c>
      <c r="J172" t="s">
        <v>83</v>
      </c>
      <c r="K172" t="s">
        <v>89</v>
      </c>
      <c r="L172" t="s">
        <v>631</v>
      </c>
      <c r="M172" t="s">
        <v>68</v>
      </c>
      <c r="N172">
        <v>3</v>
      </c>
      <c r="O172">
        <v>1711.32</v>
      </c>
      <c r="P172" s="3">
        <v>0</v>
      </c>
      <c r="Q172">
        <v>5133.96</v>
      </c>
      <c r="R172">
        <v>3930</v>
      </c>
      <c r="S172">
        <v>1203.96</v>
      </c>
      <c r="T172" t="s">
        <v>41</v>
      </c>
      <c r="U172" t="s">
        <v>42</v>
      </c>
      <c r="V172" s="3">
        <f t="shared" si="18"/>
        <v>0</v>
      </c>
      <c r="W172">
        <f t="shared" si="19"/>
        <v>5133.96</v>
      </c>
      <c r="X172">
        <f t="shared" si="20"/>
        <v>1203.96</v>
      </c>
      <c r="Y172" s="4">
        <f t="shared" si="21"/>
        <v>0.23450903396208775</v>
      </c>
      <c r="Z172">
        <f t="shared" si="22"/>
        <v>8</v>
      </c>
      <c r="AA172">
        <f t="shared" si="23"/>
        <v>9</v>
      </c>
      <c r="AB172">
        <f t="shared" si="24"/>
        <v>2025</v>
      </c>
      <c r="AC172" t="str">
        <f t="shared" si="25"/>
        <v>Conflict - Review</v>
      </c>
      <c r="AD172" t="str">
        <f t="shared" si="26"/>
        <v>Invalid</v>
      </c>
    </row>
    <row r="173" spans="1:30" x14ac:dyDescent="0.3">
      <c r="A173" t="s">
        <v>632</v>
      </c>
      <c r="B173" s="2">
        <v>45711</v>
      </c>
      <c r="C173" s="2">
        <v>45713</v>
      </c>
      <c r="D173" t="s">
        <v>633</v>
      </c>
      <c r="E173" t="s">
        <v>32</v>
      </c>
      <c r="F173" t="s">
        <v>99</v>
      </c>
      <c r="G173" t="s">
        <v>47</v>
      </c>
      <c r="H173" t="s">
        <v>154</v>
      </c>
      <c r="I173" t="s">
        <v>155</v>
      </c>
      <c r="J173" t="s">
        <v>37</v>
      </c>
      <c r="K173" t="s">
        <v>100</v>
      </c>
      <c r="L173" t="s">
        <v>634</v>
      </c>
      <c r="M173" t="s">
        <v>53</v>
      </c>
      <c r="N173">
        <v>5</v>
      </c>
      <c r="O173">
        <v>4246.2700000000004</v>
      </c>
      <c r="P173" s="3">
        <v>0.25</v>
      </c>
      <c r="Q173">
        <v>15923.51</v>
      </c>
      <c r="R173">
        <v>11291.8</v>
      </c>
      <c r="S173">
        <v>4631.71</v>
      </c>
      <c r="T173" t="s">
        <v>41</v>
      </c>
      <c r="U173" t="s">
        <v>42</v>
      </c>
      <c r="V173" s="3">
        <f t="shared" si="18"/>
        <v>0.25</v>
      </c>
      <c r="W173">
        <f t="shared" si="19"/>
        <v>15923.512500000001</v>
      </c>
      <c r="X173">
        <f t="shared" si="20"/>
        <v>4631.7125000000015</v>
      </c>
      <c r="Y173" s="4">
        <f t="shared" si="21"/>
        <v>0.29087253832971849</v>
      </c>
      <c r="Z173">
        <f t="shared" si="22"/>
        <v>2</v>
      </c>
      <c r="AA173">
        <f t="shared" si="23"/>
        <v>2</v>
      </c>
      <c r="AB173">
        <f t="shared" si="24"/>
        <v>2025</v>
      </c>
      <c r="AC173" t="str">
        <f t="shared" si="25"/>
        <v>Unique</v>
      </c>
      <c r="AD173" t="str">
        <f t="shared" si="26"/>
        <v>Clean</v>
      </c>
    </row>
    <row r="174" spans="1:30" x14ac:dyDescent="0.3">
      <c r="A174" t="s">
        <v>635</v>
      </c>
      <c r="B174" s="2">
        <v>45871</v>
      </c>
      <c r="C174" s="2">
        <v>45879</v>
      </c>
      <c r="D174" t="s">
        <v>636</v>
      </c>
      <c r="E174" t="s">
        <v>32</v>
      </c>
      <c r="F174" t="s">
        <v>99</v>
      </c>
      <c r="G174" t="s">
        <v>34</v>
      </c>
      <c r="H174" t="s">
        <v>360</v>
      </c>
      <c r="I174" t="s">
        <v>361</v>
      </c>
      <c r="J174" t="s">
        <v>50</v>
      </c>
      <c r="K174" t="s">
        <v>66</v>
      </c>
      <c r="L174" t="s">
        <v>637</v>
      </c>
      <c r="M174" t="s">
        <v>53</v>
      </c>
      <c r="N174">
        <v>9</v>
      </c>
      <c r="O174">
        <v>2962.62</v>
      </c>
      <c r="P174" s="3">
        <v>0.1</v>
      </c>
      <c r="Q174">
        <v>23997.22</v>
      </c>
      <c r="R174">
        <v>16134.63</v>
      </c>
      <c r="S174">
        <v>7862.59</v>
      </c>
      <c r="T174" t="s">
        <v>111</v>
      </c>
      <c r="U174" t="s">
        <v>112</v>
      </c>
      <c r="V174" s="3">
        <f t="shared" si="18"/>
        <v>0.1</v>
      </c>
      <c r="W174">
        <f t="shared" si="19"/>
        <v>23997.221999999998</v>
      </c>
      <c r="X174">
        <f t="shared" si="20"/>
        <v>7862.5919999999987</v>
      </c>
      <c r="Y174" s="4">
        <f t="shared" si="21"/>
        <v>0.32764592501582057</v>
      </c>
      <c r="Z174">
        <f t="shared" si="22"/>
        <v>8</v>
      </c>
      <c r="AA174">
        <f t="shared" si="23"/>
        <v>8</v>
      </c>
      <c r="AB174">
        <f t="shared" si="24"/>
        <v>2025</v>
      </c>
      <c r="AC174" t="str">
        <f t="shared" si="25"/>
        <v>Unique</v>
      </c>
      <c r="AD174" t="str">
        <f t="shared" si="26"/>
        <v>Clean</v>
      </c>
    </row>
    <row r="175" spans="1:30" x14ac:dyDescent="0.3">
      <c r="A175" t="s">
        <v>638</v>
      </c>
      <c r="B175" s="2">
        <v>45414</v>
      </c>
      <c r="C175" s="2">
        <v>45420</v>
      </c>
      <c r="D175" t="s">
        <v>639</v>
      </c>
      <c r="E175" t="s">
        <v>123</v>
      </c>
      <c r="F175" t="s">
        <v>104</v>
      </c>
      <c r="G175" t="s">
        <v>34</v>
      </c>
      <c r="H175" t="s">
        <v>131</v>
      </c>
      <c r="I175" t="s">
        <v>132</v>
      </c>
      <c r="J175" t="s">
        <v>83</v>
      </c>
      <c r="K175" t="s">
        <v>89</v>
      </c>
      <c r="L175" t="s">
        <v>640</v>
      </c>
      <c r="M175" t="s">
        <v>40</v>
      </c>
      <c r="N175">
        <v>1</v>
      </c>
      <c r="O175">
        <v>2312.25</v>
      </c>
      <c r="P175" s="3">
        <v>0.25</v>
      </c>
      <c r="Q175">
        <v>1734.19</v>
      </c>
      <c r="R175">
        <v>1386.07</v>
      </c>
      <c r="S175">
        <v>348.12</v>
      </c>
      <c r="T175" t="s">
        <v>41</v>
      </c>
      <c r="U175" t="s">
        <v>42</v>
      </c>
      <c r="V175" s="3">
        <f t="shared" si="18"/>
        <v>0.25</v>
      </c>
      <c r="W175">
        <f t="shared" si="19"/>
        <v>1734.1875</v>
      </c>
      <c r="X175">
        <f t="shared" si="20"/>
        <v>348.11750000000006</v>
      </c>
      <c r="Y175" s="4">
        <f t="shared" si="21"/>
        <v>0.20073809781237614</v>
      </c>
      <c r="Z175">
        <f t="shared" si="22"/>
        <v>6</v>
      </c>
      <c r="AA175">
        <f t="shared" si="23"/>
        <v>5</v>
      </c>
      <c r="AB175">
        <f t="shared" si="24"/>
        <v>2024</v>
      </c>
      <c r="AC175" t="str">
        <f t="shared" si="25"/>
        <v>Unique</v>
      </c>
      <c r="AD175" t="str">
        <f t="shared" si="26"/>
        <v>Clean</v>
      </c>
    </row>
    <row r="176" spans="1:30" x14ac:dyDescent="0.3">
      <c r="A176" t="s">
        <v>641</v>
      </c>
      <c r="B176" s="2">
        <v>45928</v>
      </c>
      <c r="C176" s="2">
        <v>45934</v>
      </c>
      <c r="D176" t="s">
        <v>642</v>
      </c>
      <c r="E176" t="s">
        <v>32</v>
      </c>
      <c r="F176" t="s">
        <v>46</v>
      </c>
      <c r="G176" t="s">
        <v>63</v>
      </c>
      <c r="H176" t="s">
        <v>184</v>
      </c>
      <c r="I176" t="s">
        <v>185</v>
      </c>
      <c r="J176" t="s">
        <v>50</v>
      </c>
      <c r="K176" t="s">
        <v>167</v>
      </c>
      <c r="L176" t="s">
        <v>643</v>
      </c>
      <c r="M176" t="s">
        <v>59</v>
      </c>
      <c r="N176">
        <v>6</v>
      </c>
      <c r="O176">
        <v>1620.53</v>
      </c>
      <c r="P176" s="3">
        <v>0.15</v>
      </c>
      <c r="Q176">
        <v>8264.7000000000007</v>
      </c>
      <c r="R176">
        <v>4768.75</v>
      </c>
      <c r="S176">
        <v>3495.95</v>
      </c>
      <c r="T176" t="s">
        <v>120</v>
      </c>
      <c r="U176" t="s">
        <v>112</v>
      </c>
      <c r="V176" s="3">
        <f t="shared" si="18"/>
        <v>0.15</v>
      </c>
      <c r="W176">
        <f t="shared" si="19"/>
        <v>8264.7029999999995</v>
      </c>
      <c r="X176">
        <f t="shared" si="20"/>
        <v>3495.9529999999995</v>
      </c>
      <c r="Y176" s="4">
        <f t="shared" si="21"/>
        <v>0.42299801940856191</v>
      </c>
      <c r="Z176">
        <f t="shared" si="22"/>
        <v>6</v>
      </c>
      <c r="AA176">
        <f t="shared" si="23"/>
        <v>9</v>
      </c>
      <c r="AB176">
        <f t="shared" si="24"/>
        <v>2025</v>
      </c>
      <c r="AC176" t="str">
        <f t="shared" si="25"/>
        <v>Unique</v>
      </c>
      <c r="AD176" t="str">
        <f t="shared" si="26"/>
        <v>Clean</v>
      </c>
    </row>
    <row r="177" spans="1:30" x14ac:dyDescent="0.3">
      <c r="A177" t="s">
        <v>644</v>
      </c>
      <c r="B177" s="2">
        <v>45318</v>
      </c>
      <c r="C177" s="2">
        <v>45325</v>
      </c>
      <c r="D177" t="s">
        <v>645</v>
      </c>
      <c r="E177" t="s">
        <v>62</v>
      </c>
      <c r="F177" t="s">
        <v>46</v>
      </c>
      <c r="G177" t="s">
        <v>47</v>
      </c>
      <c r="H177" t="s">
        <v>154</v>
      </c>
      <c r="I177" t="s">
        <v>155</v>
      </c>
      <c r="J177" t="s">
        <v>83</v>
      </c>
      <c r="K177" t="s">
        <v>284</v>
      </c>
      <c r="L177" t="s">
        <v>646</v>
      </c>
      <c r="M177" t="s">
        <v>53</v>
      </c>
      <c r="N177">
        <v>7</v>
      </c>
      <c r="O177">
        <v>2673.42</v>
      </c>
      <c r="P177" s="3">
        <v>0.15</v>
      </c>
      <c r="Q177">
        <v>15906.85</v>
      </c>
      <c r="R177">
        <v>11014.46</v>
      </c>
      <c r="S177">
        <v>4892.3900000000003</v>
      </c>
      <c r="T177" t="s">
        <v>41</v>
      </c>
      <c r="U177" t="s">
        <v>112</v>
      </c>
      <c r="V177" s="3">
        <f t="shared" si="18"/>
        <v>0.15</v>
      </c>
      <c r="W177">
        <f t="shared" si="19"/>
        <v>15906.849000000002</v>
      </c>
      <c r="X177">
        <f t="shared" si="20"/>
        <v>4892.3890000000029</v>
      </c>
      <c r="Y177" s="4">
        <f t="shared" si="21"/>
        <v>0.30756493633654297</v>
      </c>
      <c r="Z177">
        <f t="shared" si="22"/>
        <v>7</v>
      </c>
      <c r="AA177">
        <f t="shared" si="23"/>
        <v>1</v>
      </c>
      <c r="AB177">
        <f t="shared" si="24"/>
        <v>2024</v>
      </c>
      <c r="AC177" t="str">
        <f t="shared" si="25"/>
        <v>Unique</v>
      </c>
      <c r="AD177" t="str">
        <f t="shared" si="26"/>
        <v>Clean</v>
      </c>
    </row>
    <row r="178" spans="1:30" x14ac:dyDescent="0.3">
      <c r="A178" t="s">
        <v>647</v>
      </c>
      <c r="B178" s="2">
        <v>45734</v>
      </c>
      <c r="C178" s="2">
        <v>45742</v>
      </c>
      <c r="D178" t="s">
        <v>648</v>
      </c>
      <c r="E178" t="s">
        <v>80</v>
      </c>
      <c r="F178" t="s">
        <v>99</v>
      </c>
      <c r="G178" t="s">
        <v>47</v>
      </c>
      <c r="H178" t="s">
        <v>238</v>
      </c>
      <c r="I178" t="s">
        <v>239</v>
      </c>
      <c r="J178" t="s">
        <v>50</v>
      </c>
      <c r="K178" t="s">
        <v>167</v>
      </c>
      <c r="L178" t="s">
        <v>649</v>
      </c>
      <c r="M178" t="s">
        <v>68</v>
      </c>
      <c r="N178">
        <v>8</v>
      </c>
      <c r="O178">
        <v>3563.09</v>
      </c>
      <c r="P178" s="3">
        <v>0.15</v>
      </c>
      <c r="Q178">
        <v>24229.01</v>
      </c>
      <c r="R178">
        <v>13910.64</v>
      </c>
      <c r="S178">
        <v>10318.370000000001</v>
      </c>
      <c r="T178" t="s">
        <v>41</v>
      </c>
      <c r="U178" t="s">
        <v>42</v>
      </c>
      <c r="V178" s="3">
        <f t="shared" si="18"/>
        <v>0.15</v>
      </c>
      <c r="W178">
        <f t="shared" si="19"/>
        <v>24229.011999999999</v>
      </c>
      <c r="X178">
        <f t="shared" si="20"/>
        <v>10318.371999999999</v>
      </c>
      <c r="Y178" s="4">
        <f t="shared" si="21"/>
        <v>0.42586845885420338</v>
      </c>
      <c r="Z178">
        <f t="shared" si="22"/>
        <v>8</v>
      </c>
      <c r="AA178">
        <f t="shared" si="23"/>
        <v>3</v>
      </c>
      <c r="AB178">
        <f t="shared" si="24"/>
        <v>2025</v>
      </c>
      <c r="AC178" t="str">
        <f t="shared" si="25"/>
        <v>Unique</v>
      </c>
      <c r="AD178" t="str">
        <f t="shared" si="26"/>
        <v>Clean</v>
      </c>
    </row>
    <row r="179" spans="1:30" x14ac:dyDescent="0.3">
      <c r="A179" t="s">
        <v>650</v>
      </c>
      <c r="B179" s="2">
        <v>45444</v>
      </c>
      <c r="C179" s="2">
        <v>45446</v>
      </c>
      <c r="D179" t="s">
        <v>651</v>
      </c>
      <c r="E179" t="s">
        <v>141</v>
      </c>
      <c r="F179" t="s">
        <v>104</v>
      </c>
      <c r="G179" t="s">
        <v>214</v>
      </c>
      <c r="H179" t="s">
        <v>154</v>
      </c>
      <c r="I179" t="s">
        <v>155</v>
      </c>
      <c r="J179" t="s">
        <v>37</v>
      </c>
      <c r="K179" t="s">
        <v>57</v>
      </c>
      <c r="L179" t="s">
        <v>652</v>
      </c>
      <c r="M179" t="s">
        <v>53</v>
      </c>
      <c r="N179">
        <v>8</v>
      </c>
      <c r="O179">
        <v>3879.95</v>
      </c>
      <c r="P179" s="3">
        <v>0</v>
      </c>
      <c r="Q179">
        <v>31039.599999999999</v>
      </c>
      <c r="R179">
        <v>20866.72</v>
      </c>
      <c r="S179">
        <v>10172.879999999999</v>
      </c>
      <c r="T179" t="s">
        <v>41</v>
      </c>
      <c r="U179" t="s">
        <v>42</v>
      </c>
      <c r="V179" s="3">
        <f t="shared" si="18"/>
        <v>0</v>
      </c>
      <c r="W179">
        <f t="shared" si="19"/>
        <v>31039.599999999999</v>
      </c>
      <c r="X179">
        <f t="shared" si="20"/>
        <v>10172.879999999997</v>
      </c>
      <c r="Y179" s="4">
        <f t="shared" si="21"/>
        <v>0.32773875952009685</v>
      </c>
      <c r="Z179">
        <f t="shared" si="22"/>
        <v>2</v>
      </c>
      <c r="AA179">
        <f t="shared" si="23"/>
        <v>6</v>
      </c>
      <c r="AB179">
        <f t="shared" si="24"/>
        <v>2024</v>
      </c>
      <c r="AC179" t="str">
        <f t="shared" si="25"/>
        <v>Unique</v>
      </c>
      <c r="AD179" t="str">
        <f t="shared" si="26"/>
        <v>Warning</v>
      </c>
    </row>
    <row r="180" spans="1:30" x14ac:dyDescent="0.3">
      <c r="A180" t="s">
        <v>653</v>
      </c>
      <c r="B180" s="2">
        <v>45565</v>
      </c>
      <c r="C180" s="2">
        <v>45565</v>
      </c>
      <c r="D180" t="s">
        <v>654</v>
      </c>
      <c r="E180" t="s">
        <v>56</v>
      </c>
      <c r="F180" t="s">
        <v>99</v>
      </c>
      <c r="G180" t="s">
        <v>63</v>
      </c>
      <c r="H180" t="s">
        <v>64</v>
      </c>
      <c r="I180" t="s">
        <v>65</v>
      </c>
      <c r="J180" t="s">
        <v>37</v>
      </c>
      <c r="K180" t="s">
        <v>57</v>
      </c>
      <c r="L180" t="s">
        <v>655</v>
      </c>
      <c r="M180" t="s">
        <v>68</v>
      </c>
      <c r="N180">
        <v>4</v>
      </c>
      <c r="O180">
        <v>3281.74</v>
      </c>
      <c r="P180" s="3">
        <v>0</v>
      </c>
      <c r="Q180">
        <v>13126.96</v>
      </c>
      <c r="R180">
        <v>10732.44</v>
      </c>
      <c r="S180">
        <v>2394.52</v>
      </c>
      <c r="T180" t="s">
        <v>41</v>
      </c>
      <c r="U180" t="s">
        <v>42</v>
      </c>
      <c r="V180" s="3">
        <f t="shared" si="18"/>
        <v>0</v>
      </c>
      <c r="W180">
        <f t="shared" si="19"/>
        <v>13126.96</v>
      </c>
      <c r="X180">
        <f t="shared" si="20"/>
        <v>2394.5199999999986</v>
      </c>
      <c r="Y180" s="4">
        <f t="shared" si="21"/>
        <v>0.18241237879905162</v>
      </c>
      <c r="Z180">
        <f t="shared" si="22"/>
        <v>0</v>
      </c>
      <c r="AA180">
        <f t="shared" si="23"/>
        <v>9</v>
      </c>
      <c r="AB180">
        <f t="shared" si="24"/>
        <v>2024</v>
      </c>
      <c r="AC180" t="str">
        <f t="shared" si="25"/>
        <v>Unique</v>
      </c>
      <c r="AD180" t="str">
        <f t="shared" si="26"/>
        <v>Clean</v>
      </c>
    </row>
    <row r="181" spans="1:30" x14ac:dyDescent="0.3">
      <c r="A181" t="s">
        <v>656</v>
      </c>
      <c r="B181" s="2">
        <v>45366</v>
      </c>
      <c r="C181" s="2">
        <v>45370</v>
      </c>
      <c r="D181" t="s">
        <v>657</v>
      </c>
      <c r="E181" t="s">
        <v>71</v>
      </c>
      <c r="F181" t="s">
        <v>46</v>
      </c>
      <c r="G181" t="s">
        <v>63</v>
      </c>
      <c r="H181" t="s">
        <v>257</v>
      </c>
      <c r="I181" t="s">
        <v>258</v>
      </c>
      <c r="J181" t="s">
        <v>50</v>
      </c>
      <c r="K181" t="s">
        <v>66</v>
      </c>
      <c r="L181" t="s">
        <v>658</v>
      </c>
      <c r="M181" t="s">
        <v>68</v>
      </c>
      <c r="N181">
        <v>4</v>
      </c>
      <c r="O181">
        <v>3186.3</v>
      </c>
      <c r="P181" s="3">
        <v>0.25</v>
      </c>
      <c r="Q181">
        <v>9558.9</v>
      </c>
      <c r="R181">
        <v>5516.76</v>
      </c>
      <c r="S181">
        <v>4042.14</v>
      </c>
      <c r="T181" t="s">
        <v>111</v>
      </c>
      <c r="U181" t="s">
        <v>112</v>
      </c>
      <c r="V181" s="3">
        <f t="shared" si="18"/>
        <v>0.25</v>
      </c>
      <c r="W181">
        <f t="shared" si="19"/>
        <v>9558.9000000000015</v>
      </c>
      <c r="X181">
        <f t="shared" si="20"/>
        <v>4042.1400000000012</v>
      </c>
      <c r="Y181" s="4">
        <f t="shared" si="21"/>
        <v>0.42286664783604816</v>
      </c>
      <c r="Z181">
        <f t="shared" si="22"/>
        <v>4</v>
      </c>
      <c r="AA181">
        <f t="shared" si="23"/>
        <v>3</v>
      </c>
      <c r="AB181">
        <f t="shared" si="24"/>
        <v>2024</v>
      </c>
      <c r="AC181" t="str">
        <f t="shared" si="25"/>
        <v>Unique</v>
      </c>
      <c r="AD181" t="str">
        <f t="shared" si="26"/>
        <v>Clean</v>
      </c>
    </row>
    <row r="182" spans="1:30" x14ac:dyDescent="0.3">
      <c r="A182" t="s">
        <v>659</v>
      </c>
      <c r="B182" s="2">
        <v>45530</v>
      </c>
      <c r="C182" s="2">
        <v>45530</v>
      </c>
      <c r="D182" t="s">
        <v>660</v>
      </c>
      <c r="E182" t="s">
        <v>45</v>
      </c>
      <c r="F182" t="s">
        <v>104</v>
      </c>
      <c r="G182" t="s">
        <v>34</v>
      </c>
      <c r="H182" t="s">
        <v>145</v>
      </c>
      <c r="I182" t="s">
        <v>146</v>
      </c>
      <c r="J182" t="s">
        <v>37</v>
      </c>
      <c r="K182" t="s">
        <v>162</v>
      </c>
      <c r="L182" t="s">
        <v>661</v>
      </c>
      <c r="M182" t="s">
        <v>59</v>
      </c>
      <c r="N182">
        <v>7</v>
      </c>
      <c r="O182">
        <v>844.59</v>
      </c>
      <c r="P182" s="3">
        <v>0.1</v>
      </c>
      <c r="Q182">
        <v>5320.92</v>
      </c>
      <c r="R182">
        <v>3041.5</v>
      </c>
      <c r="S182">
        <v>2279.42</v>
      </c>
      <c r="T182" t="s">
        <v>41</v>
      </c>
      <c r="U182" t="s">
        <v>42</v>
      </c>
      <c r="V182" s="3">
        <f t="shared" si="18"/>
        <v>0.1</v>
      </c>
      <c r="W182">
        <f t="shared" si="19"/>
        <v>5320.9170000000004</v>
      </c>
      <c r="X182">
        <f t="shared" si="20"/>
        <v>2279.4170000000004</v>
      </c>
      <c r="Y182" s="4">
        <f t="shared" si="21"/>
        <v>0.42838800154183954</v>
      </c>
      <c r="Z182">
        <f t="shared" si="22"/>
        <v>0</v>
      </c>
      <c r="AA182">
        <f t="shared" si="23"/>
        <v>8</v>
      </c>
      <c r="AB182">
        <f t="shared" si="24"/>
        <v>2024</v>
      </c>
      <c r="AC182" t="str">
        <f t="shared" si="25"/>
        <v>Unique</v>
      </c>
      <c r="AD182" t="str">
        <f t="shared" si="26"/>
        <v>Clean</v>
      </c>
    </row>
    <row r="183" spans="1:30" x14ac:dyDescent="0.3">
      <c r="A183" t="s">
        <v>662</v>
      </c>
      <c r="B183" s="2">
        <v>45909</v>
      </c>
      <c r="C183" s="2">
        <v>45910</v>
      </c>
      <c r="D183" t="s">
        <v>663</v>
      </c>
      <c r="E183" t="s">
        <v>123</v>
      </c>
      <c r="F183" t="s">
        <v>104</v>
      </c>
      <c r="G183" t="s">
        <v>63</v>
      </c>
      <c r="H183" t="s">
        <v>257</v>
      </c>
      <c r="I183" t="s">
        <v>258</v>
      </c>
      <c r="J183" t="s">
        <v>37</v>
      </c>
      <c r="K183" t="s">
        <v>57</v>
      </c>
      <c r="L183" t="s">
        <v>664</v>
      </c>
      <c r="M183" t="s">
        <v>40</v>
      </c>
      <c r="N183">
        <v>4</v>
      </c>
      <c r="O183">
        <v>2551.4499999999998</v>
      </c>
      <c r="P183" s="3">
        <v>0</v>
      </c>
      <c r="Q183">
        <v>10205.799999999999</v>
      </c>
      <c r="R183">
        <v>5986.31</v>
      </c>
      <c r="S183">
        <v>4219.49</v>
      </c>
      <c r="T183" t="s">
        <v>41</v>
      </c>
      <c r="U183" t="s">
        <v>42</v>
      </c>
      <c r="V183" s="3">
        <f t="shared" si="18"/>
        <v>0</v>
      </c>
      <c r="W183">
        <f t="shared" si="19"/>
        <v>10205.799999999999</v>
      </c>
      <c r="X183">
        <f t="shared" si="20"/>
        <v>4219.4899999999989</v>
      </c>
      <c r="Y183" s="4">
        <f t="shared" si="21"/>
        <v>0.41344039663720622</v>
      </c>
      <c r="Z183">
        <f t="shared" si="22"/>
        <v>1</v>
      </c>
      <c r="AA183">
        <f t="shared" si="23"/>
        <v>9</v>
      </c>
      <c r="AB183">
        <f t="shared" si="24"/>
        <v>2025</v>
      </c>
      <c r="AC183" t="str">
        <f t="shared" si="25"/>
        <v>Unique</v>
      </c>
      <c r="AD183" t="str">
        <f t="shared" si="26"/>
        <v>Clean</v>
      </c>
    </row>
    <row r="184" spans="1:30" x14ac:dyDescent="0.3">
      <c r="A184" t="s">
        <v>665</v>
      </c>
      <c r="B184" s="2">
        <v>45581</v>
      </c>
      <c r="C184" s="2">
        <v>45581</v>
      </c>
      <c r="D184" t="s">
        <v>666</v>
      </c>
      <c r="E184" t="s">
        <v>71</v>
      </c>
      <c r="F184" t="s">
        <v>104</v>
      </c>
      <c r="G184" t="s">
        <v>47</v>
      </c>
      <c r="H184" t="s">
        <v>154</v>
      </c>
      <c r="I184" t="s">
        <v>155</v>
      </c>
      <c r="J184" t="s">
        <v>83</v>
      </c>
      <c r="K184" t="s">
        <v>284</v>
      </c>
      <c r="L184" t="s">
        <v>667</v>
      </c>
      <c r="M184" t="s">
        <v>68</v>
      </c>
      <c r="N184">
        <v>7</v>
      </c>
      <c r="O184">
        <v>775.77</v>
      </c>
      <c r="P184" s="3">
        <v>0</v>
      </c>
      <c r="Q184">
        <v>5430.39</v>
      </c>
      <c r="R184">
        <v>3707.66</v>
      </c>
      <c r="S184">
        <v>1722.73</v>
      </c>
      <c r="T184" t="s">
        <v>41</v>
      </c>
      <c r="U184" t="s">
        <v>42</v>
      </c>
      <c r="V184" s="3">
        <f t="shared" si="18"/>
        <v>0</v>
      </c>
      <c r="W184">
        <f t="shared" si="19"/>
        <v>5430.3899999999994</v>
      </c>
      <c r="X184">
        <f t="shared" si="20"/>
        <v>1722.7299999999996</v>
      </c>
      <c r="Y184" s="4">
        <f t="shared" si="21"/>
        <v>0.31723872502711586</v>
      </c>
      <c r="Z184">
        <f t="shared" si="22"/>
        <v>0</v>
      </c>
      <c r="AA184">
        <f t="shared" si="23"/>
        <v>10</v>
      </c>
      <c r="AB184">
        <f t="shared" si="24"/>
        <v>2024</v>
      </c>
      <c r="AC184" t="str">
        <f t="shared" si="25"/>
        <v>Unique</v>
      </c>
      <c r="AD184" t="str">
        <f t="shared" si="26"/>
        <v>Clean</v>
      </c>
    </row>
    <row r="185" spans="1:30" x14ac:dyDescent="0.3">
      <c r="A185" t="s">
        <v>668</v>
      </c>
      <c r="B185" s="2">
        <v>45832</v>
      </c>
      <c r="C185" s="2">
        <v>45835</v>
      </c>
      <c r="D185" t="s">
        <v>669</v>
      </c>
      <c r="E185" t="s">
        <v>80</v>
      </c>
      <c r="F185" t="s">
        <v>104</v>
      </c>
      <c r="G185" t="s">
        <v>63</v>
      </c>
      <c r="H185" t="s">
        <v>64</v>
      </c>
      <c r="I185" t="s">
        <v>65</v>
      </c>
      <c r="J185" t="s">
        <v>83</v>
      </c>
      <c r="K185" t="s">
        <v>89</v>
      </c>
      <c r="L185" t="s">
        <v>670</v>
      </c>
      <c r="M185" t="s">
        <v>68</v>
      </c>
      <c r="N185">
        <v>7</v>
      </c>
      <c r="O185">
        <v>2304.86</v>
      </c>
      <c r="P185" s="3">
        <v>0.2</v>
      </c>
      <c r="Q185">
        <v>12907.22</v>
      </c>
      <c r="R185">
        <v>8327.89</v>
      </c>
      <c r="S185">
        <v>4579.33</v>
      </c>
      <c r="T185" t="s">
        <v>41</v>
      </c>
      <c r="U185" t="s">
        <v>112</v>
      </c>
      <c r="V185" s="3">
        <f t="shared" si="18"/>
        <v>0.2</v>
      </c>
      <c r="W185">
        <f t="shared" si="19"/>
        <v>12907.216</v>
      </c>
      <c r="X185">
        <f t="shared" si="20"/>
        <v>4579.3260000000009</v>
      </c>
      <c r="Y185" s="4">
        <f t="shared" si="21"/>
        <v>0.3547880503433119</v>
      </c>
      <c r="Z185">
        <f t="shared" si="22"/>
        <v>3</v>
      </c>
      <c r="AA185">
        <f t="shared" si="23"/>
        <v>6</v>
      </c>
      <c r="AB185">
        <f t="shared" si="24"/>
        <v>2025</v>
      </c>
      <c r="AC185" t="str">
        <f t="shared" si="25"/>
        <v>Unique</v>
      </c>
      <c r="AD185" t="str">
        <f t="shared" si="26"/>
        <v>Clean</v>
      </c>
    </row>
    <row r="186" spans="1:30" x14ac:dyDescent="0.3">
      <c r="A186" t="s">
        <v>671</v>
      </c>
      <c r="B186" s="2">
        <v>45384</v>
      </c>
      <c r="C186" s="2">
        <v>45388</v>
      </c>
      <c r="D186" t="s">
        <v>672</v>
      </c>
      <c r="E186" t="s">
        <v>80</v>
      </c>
      <c r="F186" t="s">
        <v>99</v>
      </c>
      <c r="G186" t="s">
        <v>72</v>
      </c>
      <c r="H186" t="s">
        <v>81</v>
      </c>
      <c r="I186" t="s">
        <v>82</v>
      </c>
      <c r="J186" t="s">
        <v>50</v>
      </c>
      <c r="K186" t="s">
        <v>167</v>
      </c>
      <c r="L186" t="s">
        <v>673</v>
      </c>
      <c r="M186" t="s">
        <v>68</v>
      </c>
      <c r="N186">
        <v>2</v>
      </c>
      <c r="O186">
        <v>888.98</v>
      </c>
      <c r="P186" s="3">
        <v>0</v>
      </c>
      <c r="Q186">
        <v>1777.96</v>
      </c>
      <c r="R186">
        <v>1021.16</v>
      </c>
      <c r="S186">
        <v>756.8</v>
      </c>
      <c r="T186" t="s">
        <v>111</v>
      </c>
      <c r="U186" t="s">
        <v>112</v>
      </c>
      <c r="V186" s="3">
        <f t="shared" si="18"/>
        <v>0</v>
      </c>
      <c r="W186">
        <f t="shared" si="19"/>
        <v>1777.96</v>
      </c>
      <c r="X186">
        <f t="shared" si="20"/>
        <v>756.80000000000007</v>
      </c>
      <c r="Y186" s="4">
        <f t="shared" si="21"/>
        <v>0.42565637022205227</v>
      </c>
      <c r="Z186">
        <f t="shared" si="22"/>
        <v>4</v>
      </c>
      <c r="AA186">
        <f t="shared" si="23"/>
        <v>4</v>
      </c>
      <c r="AB186">
        <f t="shared" si="24"/>
        <v>2024</v>
      </c>
      <c r="AC186" t="str">
        <f t="shared" si="25"/>
        <v>Unique</v>
      </c>
      <c r="AD186" t="str">
        <f t="shared" si="26"/>
        <v>Clean</v>
      </c>
    </row>
    <row r="187" spans="1:30" x14ac:dyDescent="0.3">
      <c r="A187" t="s">
        <v>674</v>
      </c>
      <c r="B187" s="2">
        <v>45601</v>
      </c>
      <c r="C187" s="2">
        <v>45609</v>
      </c>
      <c r="D187" t="s">
        <v>675</v>
      </c>
      <c r="E187" t="s">
        <v>62</v>
      </c>
      <c r="F187" t="s">
        <v>33</v>
      </c>
      <c r="G187" t="s">
        <v>214</v>
      </c>
      <c r="H187" t="s">
        <v>131</v>
      </c>
      <c r="I187" t="s">
        <v>132</v>
      </c>
      <c r="J187" t="s">
        <v>37</v>
      </c>
      <c r="K187" t="s">
        <v>100</v>
      </c>
      <c r="L187" t="s">
        <v>676</v>
      </c>
      <c r="M187" t="s">
        <v>40</v>
      </c>
      <c r="N187">
        <v>2</v>
      </c>
      <c r="O187">
        <v>1003.17</v>
      </c>
      <c r="P187" s="3">
        <v>0.2</v>
      </c>
      <c r="Q187">
        <v>1605.07</v>
      </c>
      <c r="R187">
        <v>1337.28</v>
      </c>
      <c r="S187">
        <v>267.79000000000002</v>
      </c>
      <c r="T187" t="s">
        <v>41</v>
      </c>
      <c r="U187" t="s">
        <v>42</v>
      </c>
      <c r="V187" s="3">
        <f t="shared" si="18"/>
        <v>0.2</v>
      </c>
      <c r="W187">
        <f t="shared" si="19"/>
        <v>1605.0720000000001</v>
      </c>
      <c r="X187">
        <f t="shared" si="20"/>
        <v>267.79200000000014</v>
      </c>
      <c r="Y187" s="4">
        <f t="shared" si="21"/>
        <v>0.16684111366966722</v>
      </c>
      <c r="Z187">
        <f t="shared" si="22"/>
        <v>8</v>
      </c>
      <c r="AA187">
        <f t="shared" si="23"/>
        <v>11</v>
      </c>
      <c r="AB187">
        <f t="shared" si="24"/>
        <v>2024</v>
      </c>
      <c r="AC187" t="str">
        <f t="shared" si="25"/>
        <v>Unique</v>
      </c>
      <c r="AD187" t="str">
        <f t="shared" si="26"/>
        <v>Warning</v>
      </c>
    </row>
    <row r="188" spans="1:30" x14ac:dyDescent="0.3">
      <c r="A188" t="s">
        <v>677</v>
      </c>
      <c r="B188" s="2">
        <v>45492</v>
      </c>
      <c r="C188" s="2">
        <v>45493</v>
      </c>
      <c r="D188" t="s">
        <v>273</v>
      </c>
      <c r="E188" t="s">
        <v>80</v>
      </c>
      <c r="F188" t="s">
        <v>33</v>
      </c>
      <c r="G188" t="s">
        <v>63</v>
      </c>
      <c r="H188" t="s">
        <v>257</v>
      </c>
      <c r="I188" t="s">
        <v>258</v>
      </c>
      <c r="J188" t="s">
        <v>50</v>
      </c>
      <c r="K188" t="s">
        <v>51</v>
      </c>
      <c r="L188" t="s">
        <v>678</v>
      </c>
      <c r="M188" t="s">
        <v>59</v>
      </c>
      <c r="N188">
        <v>7</v>
      </c>
      <c r="O188">
        <v>3608.43</v>
      </c>
      <c r="P188" s="3">
        <v>0.05</v>
      </c>
      <c r="Q188">
        <v>23996.06</v>
      </c>
      <c r="R188">
        <v>20167.28</v>
      </c>
      <c r="S188">
        <v>3828.78</v>
      </c>
      <c r="T188" t="s">
        <v>41</v>
      </c>
      <c r="U188" t="s">
        <v>42</v>
      </c>
      <c r="V188" s="3">
        <f t="shared" si="18"/>
        <v>0.05</v>
      </c>
      <c r="W188">
        <f t="shared" si="19"/>
        <v>23996.059499999996</v>
      </c>
      <c r="X188">
        <f t="shared" si="20"/>
        <v>3828.7794999999969</v>
      </c>
      <c r="Y188" s="4">
        <f t="shared" si="21"/>
        <v>0.15955867670689838</v>
      </c>
      <c r="Z188">
        <f t="shared" si="22"/>
        <v>1</v>
      </c>
      <c r="AA188">
        <f t="shared" si="23"/>
        <v>7</v>
      </c>
      <c r="AB188">
        <f t="shared" si="24"/>
        <v>2024</v>
      </c>
      <c r="AC188" t="str">
        <f t="shared" si="25"/>
        <v>Unique</v>
      </c>
      <c r="AD188" t="str">
        <f t="shared" si="26"/>
        <v>Clean</v>
      </c>
    </row>
    <row r="189" spans="1:30" x14ac:dyDescent="0.3">
      <c r="A189" t="s">
        <v>679</v>
      </c>
      <c r="B189" s="2">
        <v>45778</v>
      </c>
      <c r="C189" s="2">
        <v>45779</v>
      </c>
      <c r="D189" t="s">
        <v>680</v>
      </c>
      <c r="E189" t="s">
        <v>45</v>
      </c>
      <c r="F189" t="s">
        <v>33</v>
      </c>
      <c r="G189" t="s">
        <v>72</v>
      </c>
      <c r="H189" t="s">
        <v>81</v>
      </c>
      <c r="I189" t="s">
        <v>82</v>
      </c>
      <c r="J189" t="s">
        <v>50</v>
      </c>
      <c r="K189" t="s">
        <v>75</v>
      </c>
      <c r="L189" t="s">
        <v>681</v>
      </c>
      <c r="M189" t="s">
        <v>53</v>
      </c>
      <c r="N189">
        <v>3</v>
      </c>
      <c r="O189">
        <v>2905.74</v>
      </c>
      <c r="P189" s="3">
        <v>0</v>
      </c>
      <c r="Q189">
        <v>8717.2199999999993</v>
      </c>
      <c r="R189">
        <v>6215.96</v>
      </c>
      <c r="S189">
        <v>2501.2600000000002</v>
      </c>
      <c r="T189" t="s">
        <v>41</v>
      </c>
      <c r="U189" t="s">
        <v>112</v>
      </c>
      <c r="V189" s="3">
        <f t="shared" si="18"/>
        <v>0</v>
      </c>
      <c r="W189">
        <f t="shared" si="19"/>
        <v>8717.2199999999993</v>
      </c>
      <c r="X189">
        <f t="shared" si="20"/>
        <v>2501.2599999999993</v>
      </c>
      <c r="Y189" s="4">
        <f t="shared" si="21"/>
        <v>0.28693321953558582</v>
      </c>
      <c r="Z189">
        <f t="shared" si="22"/>
        <v>1</v>
      </c>
      <c r="AA189">
        <f t="shared" si="23"/>
        <v>5</v>
      </c>
      <c r="AB189">
        <f t="shared" si="24"/>
        <v>2025</v>
      </c>
      <c r="AC189" t="str">
        <f t="shared" si="25"/>
        <v>Unique</v>
      </c>
      <c r="AD189" t="str">
        <f t="shared" si="26"/>
        <v>Clean</v>
      </c>
    </row>
    <row r="190" spans="1:30" x14ac:dyDescent="0.3">
      <c r="A190" t="s">
        <v>682</v>
      </c>
      <c r="B190" s="2">
        <v>45798</v>
      </c>
      <c r="C190" s="2">
        <v>45805</v>
      </c>
      <c r="D190" t="s">
        <v>683</v>
      </c>
      <c r="E190" t="s">
        <v>123</v>
      </c>
      <c r="F190" t="s">
        <v>99</v>
      </c>
      <c r="G190" t="s">
        <v>47</v>
      </c>
      <c r="H190" t="s">
        <v>108</v>
      </c>
      <c r="I190" t="s">
        <v>109</v>
      </c>
      <c r="J190" t="s">
        <v>50</v>
      </c>
      <c r="K190" t="s">
        <v>167</v>
      </c>
      <c r="L190" t="s">
        <v>684</v>
      </c>
      <c r="M190" t="s">
        <v>53</v>
      </c>
      <c r="N190">
        <v>2</v>
      </c>
      <c r="O190">
        <v>3559.57</v>
      </c>
      <c r="P190" s="3">
        <v>0.1</v>
      </c>
      <c r="Q190">
        <v>6553.95</v>
      </c>
      <c r="R190">
        <v>4923.09</v>
      </c>
      <c r="S190">
        <v>1484.14</v>
      </c>
      <c r="T190" t="s">
        <v>41</v>
      </c>
      <c r="U190" t="s">
        <v>42</v>
      </c>
      <c r="V190" s="3">
        <f t="shared" si="18"/>
        <v>0.1</v>
      </c>
      <c r="W190">
        <f t="shared" si="19"/>
        <v>6407.2260000000006</v>
      </c>
      <c r="X190">
        <f t="shared" si="20"/>
        <v>1484.1360000000004</v>
      </c>
      <c r="Y190" s="4">
        <f t="shared" si="21"/>
        <v>0.23163471992403581</v>
      </c>
      <c r="Z190">
        <f t="shared" si="22"/>
        <v>7</v>
      </c>
      <c r="AA190">
        <f t="shared" si="23"/>
        <v>5</v>
      </c>
      <c r="AB190">
        <f t="shared" si="24"/>
        <v>2025</v>
      </c>
      <c r="AC190" t="str">
        <f t="shared" si="25"/>
        <v>Unique</v>
      </c>
      <c r="AD190" t="str">
        <f t="shared" si="26"/>
        <v>Clean</v>
      </c>
    </row>
    <row r="191" spans="1:30" x14ac:dyDescent="0.3">
      <c r="A191" t="s">
        <v>685</v>
      </c>
      <c r="B191" s="2">
        <v>45783</v>
      </c>
      <c r="C191" s="2">
        <v>45784</v>
      </c>
      <c r="D191" t="s">
        <v>686</v>
      </c>
      <c r="E191" t="s">
        <v>62</v>
      </c>
      <c r="F191" t="s">
        <v>33</v>
      </c>
      <c r="G191" t="s">
        <v>72</v>
      </c>
      <c r="H191" t="s">
        <v>35</v>
      </c>
      <c r="I191" t="s">
        <v>118</v>
      </c>
      <c r="J191" t="s">
        <v>50</v>
      </c>
      <c r="K191" t="s">
        <v>167</v>
      </c>
      <c r="L191" t="s">
        <v>687</v>
      </c>
      <c r="M191" t="s">
        <v>59</v>
      </c>
      <c r="N191">
        <v>9</v>
      </c>
      <c r="O191">
        <v>3318.24</v>
      </c>
      <c r="P191" s="3"/>
      <c r="Q191">
        <v>25384.54</v>
      </c>
      <c r="R191">
        <v>16872.39</v>
      </c>
      <c r="S191">
        <v>8512.15</v>
      </c>
      <c r="T191" t="s">
        <v>41</v>
      </c>
      <c r="U191" t="s">
        <v>42</v>
      </c>
      <c r="V191" s="3">
        <f t="shared" si="18"/>
        <v>0</v>
      </c>
      <c r="W191">
        <f t="shared" si="19"/>
        <v>29864.159999999996</v>
      </c>
      <c r="X191">
        <f t="shared" si="20"/>
        <v>12991.769999999997</v>
      </c>
      <c r="Y191" s="4">
        <f t="shared" si="21"/>
        <v>0.43502881045373448</v>
      </c>
      <c r="Z191">
        <f t="shared" si="22"/>
        <v>1</v>
      </c>
      <c r="AA191">
        <f t="shared" si="23"/>
        <v>5</v>
      </c>
      <c r="AB191">
        <f t="shared" si="24"/>
        <v>2025</v>
      </c>
      <c r="AC191" t="str">
        <f t="shared" si="25"/>
        <v>Unique</v>
      </c>
      <c r="AD191" t="str">
        <f t="shared" si="26"/>
        <v>Clean</v>
      </c>
    </row>
    <row r="192" spans="1:30" x14ac:dyDescent="0.3">
      <c r="A192" t="s">
        <v>688</v>
      </c>
      <c r="B192" s="2">
        <v>45767</v>
      </c>
      <c r="C192" s="2">
        <v>45768</v>
      </c>
      <c r="D192" t="s">
        <v>689</v>
      </c>
      <c r="E192" t="s">
        <v>98</v>
      </c>
      <c r="F192" t="s">
        <v>33</v>
      </c>
      <c r="G192" t="s">
        <v>63</v>
      </c>
      <c r="H192" t="s">
        <v>257</v>
      </c>
      <c r="I192" t="s">
        <v>258</v>
      </c>
      <c r="J192" t="s">
        <v>37</v>
      </c>
      <c r="K192" t="s">
        <v>133</v>
      </c>
      <c r="L192" t="s">
        <v>690</v>
      </c>
      <c r="M192" t="s">
        <v>59</v>
      </c>
      <c r="N192">
        <v>3</v>
      </c>
      <c r="O192">
        <v>540.09</v>
      </c>
      <c r="P192" s="3">
        <v>0.1</v>
      </c>
      <c r="Q192">
        <v>1458.24</v>
      </c>
      <c r="R192">
        <v>943.32</v>
      </c>
      <c r="S192">
        <v>514.91999999999996</v>
      </c>
      <c r="T192" t="s">
        <v>41</v>
      </c>
      <c r="U192" t="s">
        <v>42</v>
      </c>
      <c r="V192" s="3">
        <f t="shared" si="18"/>
        <v>0.1</v>
      </c>
      <c r="W192">
        <f t="shared" si="19"/>
        <v>1458.2429999999999</v>
      </c>
      <c r="X192">
        <f t="shared" si="20"/>
        <v>514.92299999999989</v>
      </c>
      <c r="Y192" s="4">
        <f t="shared" si="21"/>
        <v>0.35311192990468659</v>
      </c>
      <c r="Z192">
        <f t="shared" si="22"/>
        <v>1</v>
      </c>
      <c r="AA192">
        <f t="shared" si="23"/>
        <v>4</v>
      </c>
      <c r="AB192">
        <f t="shared" si="24"/>
        <v>2025</v>
      </c>
      <c r="AC192" t="str">
        <f t="shared" si="25"/>
        <v>Unique</v>
      </c>
      <c r="AD192" t="str">
        <f t="shared" si="26"/>
        <v>Clean</v>
      </c>
    </row>
    <row r="193" spans="1:30" x14ac:dyDescent="0.3">
      <c r="A193" t="s">
        <v>691</v>
      </c>
      <c r="B193" s="2">
        <v>45584</v>
      </c>
      <c r="C193" s="2">
        <v>45589</v>
      </c>
      <c r="D193" t="s">
        <v>692</v>
      </c>
      <c r="E193" t="s">
        <v>141</v>
      </c>
      <c r="F193" t="s">
        <v>46</v>
      </c>
      <c r="G193" t="s">
        <v>63</v>
      </c>
      <c r="H193" t="s">
        <v>257</v>
      </c>
      <c r="I193" t="s">
        <v>258</v>
      </c>
      <c r="J193" t="s">
        <v>50</v>
      </c>
      <c r="K193" t="s">
        <v>167</v>
      </c>
      <c r="L193" t="s">
        <v>693</v>
      </c>
      <c r="M193" t="s">
        <v>40</v>
      </c>
      <c r="N193">
        <v>6</v>
      </c>
      <c r="O193">
        <v>4308.3999999999996</v>
      </c>
      <c r="P193" s="3">
        <v>0.65</v>
      </c>
      <c r="Q193">
        <v>25850.400000000001</v>
      </c>
      <c r="R193">
        <v>19397.68</v>
      </c>
      <c r="S193">
        <v>6452.72</v>
      </c>
      <c r="T193" t="s">
        <v>41</v>
      </c>
      <c r="U193" t="s">
        <v>42</v>
      </c>
      <c r="V193" s="3">
        <f t="shared" si="18"/>
        <v>0.65</v>
      </c>
      <c r="W193">
        <f t="shared" si="19"/>
        <v>9047.64</v>
      </c>
      <c r="X193">
        <f t="shared" si="20"/>
        <v>-10350.040000000001</v>
      </c>
      <c r="Y193" s="4">
        <f t="shared" si="21"/>
        <v>-1.1439491403283069</v>
      </c>
      <c r="Z193">
        <f t="shared" si="22"/>
        <v>5</v>
      </c>
      <c r="AA193">
        <f t="shared" si="23"/>
        <v>10</v>
      </c>
      <c r="AB193">
        <f t="shared" si="24"/>
        <v>2024</v>
      </c>
      <c r="AC193" t="str">
        <f t="shared" si="25"/>
        <v>Unique</v>
      </c>
      <c r="AD193" t="str">
        <f t="shared" si="26"/>
        <v>Clean</v>
      </c>
    </row>
    <row r="194" spans="1:30" x14ac:dyDescent="0.3">
      <c r="A194" t="s">
        <v>694</v>
      </c>
      <c r="B194" s="2">
        <v>45635</v>
      </c>
      <c r="C194" s="2">
        <v>45642</v>
      </c>
      <c r="D194" t="s">
        <v>695</v>
      </c>
      <c r="E194" t="s">
        <v>56</v>
      </c>
      <c r="F194" t="s">
        <v>104</v>
      </c>
      <c r="G194" t="s">
        <v>72</v>
      </c>
      <c r="H194" t="s">
        <v>189</v>
      </c>
      <c r="I194" t="s">
        <v>190</v>
      </c>
      <c r="J194" t="s">
        <v>50</v>
      </c>
      <c r="K194" t="s">
        <v>75</v>
      </c>
      <c r="L194" t="s">
        <v>696</v>
      </c>
      <c r="M194" t="s">
        <v>59</v>
      </c>
      <c r="N194">
        <v>4</v>
      </c>
      <c r="O194">
        <v>2191.0300000000002</v>
      </c>
      <c r="P194" s="3">
        <v>0</v>
      </c>
      <c r="Q194">
        <v>8764.1200000000008</v>
      </c>
      <c r="R194">
        <v>7220.05</v>
      </c>
      <c r="S194">
        <v>1544.07</v>
      </c>
      <c r="T194" t="s">
        <v>41</v>
      </c>
      <c r="U194" t="s">
        <v>42</v>
      </c>
      <c r="V194" s="3">
        <f t="shared" ref="V194:V257" si="27">IF(P194="",0,IF(ISNUMBER(P194),ABS(P194),IF(RIGHT(P194,1)="%",VALUE(LEFT(P194,LEN(P194)-1))/100,P194)))</f>
        <v>0</v>
      </c>
      <c r="W194">
        <f t="shared" ref="W194:W257" si="28">N194*O194*(1-V194)</f>
        <v>8764.1200000000008</v>
      </c>
      <c r="X194">
        <f t="shared" ref="X194:X257" si="29">W194-R194</f>
        <v>1544.0700000000006</v>
      </c>
      <c r="Y194" s="4">
        <f t="shared" ref="Y194:Y257" si="30">IF(W194=0,0,X194/W194)</f>
        <v>0.17618083732308554</v>
      </c>
      <c r="Z194">
        <f t="shared" ref="Z194:Z257" si="31">C194-B194</f>
        <v>7</v>
      </c>
      <c r="AA194">
        <f t="shared" ref="AA194:AA257" si="32">MONTH(B194)</f>
        <v>12</v>
      </c>
      <c r="AB194">
        <f t="shared" ref="AB194:AB257" si="33">YEAR(B194)</f>
        <v>2024</v>
      </c>
      <c r="AC194" t="str">
        <f t="shared" ref="AC194:AC257" si="34">IF(COUNTIF($A$2:$A$913,A194)&gt;1,"Conflict - Review","Unique")</f>
        <v>Unique</v>
      </c>
      <c r="AD194" t="str">
        <f t="shared" ref="AD194:AD257" si="35">IF(OR(C194&lt;B194,AND(ISNUMBER(P194),P194&lt;0),V194&gt;0.65,AC194="Conflict - Review"),"Invalid",IF(OR(G194="Unknown",M194="Unknown",T194="Failed",U194="Cancelled"),"Warning","Clean"))</f>
        <v>Clean</v>
      </c>
    </row>
    <row r="195" spans="1:30" x14ac:dyDescent="0.3">
      <c r="A195" t="s">
        <v>697</v>
      </c>
      <c r="B195" s="2">
        <v>45466</v>
      </c>
      <c r="C195" s="2">
        <v>45471</v>
      </c>
      <c r="D195" t="s">
        <v>698</v>
      </c>
      <c r="E195" t="s">
        <v>123</v>
      </c>
      <c r="F195" t="s">
        <v>46</v>
      </c>
      <c r="G195" t="s">
        <v>34</v>
      </c>
      <c r="H195" t="s">
        <v>131</v>
      </c>
      <c r="I195" t="s">
        <v>132</v>
      </c>
      <c r="J195" t="s">
        <v>83</v>
      </c>
      <c r="K195" t="s">
        <v>89</v>
      </c>
      <c r="L195" t="s">
        <v>699</v>
      </c>
      <c r="M195" t="s">
        <v>53</v>
      </c>
      <c r="N195">
        <v>6</v>
      </c>
      <c r="O195">
        <v>1956.63</v>
      </c>
      <c r="P195" s="3">
        <v>0.2</v>
      </c>
      <c r="Q195">
        <v>9391.82</v>
      </c>
      <c r="R195">
        <v>6013.22</v>
      </c>
      <c r="S195">
        <v>3378.6</v>
      </c>
      <c r="T195" t="s">
        <v>111</v>
      </c>
      <c r="U195" t="s">
        <v>112</v>
      </c>
      <c r="V195" s="3">
        <f t="shared" si="27"/>
        <v>0.2</v>
      </c>
      <c r="W195">
        <f t="shared" si="28"/>
        <v>9391.8240000000005</v>
      </c>
      <c r="X195">
        <f t="shared" si="29"/>
        <v>3378.6040000000003</v>
      </c>
      <c r="Y195" s="4">
        <f t="shared" si="30"/>
        <v>0.35973885370935399</v>
      </c>
      <c r="Z195">
        <f t="shared" si="31"/>
        <v>5</v>
      </c>
      <c r="AA195">
        <f t="shared" si="32"/>
        <v>6</v>
      </c>
      <c r="AB195">
        <f t="shared" si="33"/>
        <v>2024</v>
      </c>
      <c r="AC195" t="str">
        <f t="shared" si="34"/>
        <v>Unique</v>
      </c>
      <c r="AD195" t="str">
        <f t="shared" si="35"/>
        <v>Clean</v>
      </c>
    </row>
    <row r="196" spans="1:30" x14ac:dyDescent="0.3">
      <c r="A196" t="s">
        <v>700</v>
      </c>
      <c r="B196" s="2">
        <v>45685</v>
      </c>
      <c r="C196" s="2">
        <v>45688</v>
      </c>
      <c r="D196" t="s">
        <v>701</v>
      </c>
      <c r="E196" t="s">
        <v>123</v>
      </c>
      <c r="F196" t="s">
        <v>33</v>
      </c>
      <c r="G196" t="s">
        <v>72</v>
      </c>
      <c r="H196" t="s">
        <v>73</v>
      </c>
      <c r="I196" t="s">
        <v>74</v>
      </c>
      <c r="J196" t="s">
        <v>50</v>
      </c>
      <c r="K196" t="s">
        <v>66</v>
      </c>
      <c r="L196" t="s">
        <v>702</v>
      </c>
      <c r="M196" t="s">
        <v>59</v>
      </c>
      <c r="N196">
        <v>9</v>
      </c>
      <c r="O196">
        <v>858.39</v>
      </c>
      <c r="P196" s="3">
        <v>0.05</v>
      </c>
      <c r="Q196">
        <v>7339.23</v>
      </c>
      <c r="R196">
        <v>5434.12</v>
      </c>
      <c r="S196">
        <v>1905.11</v>
      </c>
      <c r="T196" t="s">
        <v>120</v>
      </c>
      <c r="U196" t="s">
        <v>112</v>
      </c>
      <c r="V196" s="3">
        <f t="shared" si="27"/>
        <v>0.05</v>
      </c>
      <c r="W196">
        <f t="shared" si="28"/>
        <v>7339.2344999999996</v>
      </c>
      <c r="X196">
        <f t="shared" si="29"/>
        <v>1905.1144999999997</v>
      </c>
      <c r="Y196" s="4">
        <f t="shared" si="30"/>
        <v>0.25957945614082772</v>
      </c>
      <c r="Z196">
        <f t="shared" si="31"/>
        <v>3</v>
      </c>
      <c r="AA196">
        <f t="shared" si="32"/>
        <v>1</v>
      </c>
      <c r="AB196">
        <f t="shared" si="33"/>
        <v>2025</v>
      </c>
      <c r="AC196" t="str">
        <f t="shared" si="34"/>
        <v>Unique</v>
      </c>
      <c r="AD196" t="str">
        <f t="shared" si="35"/>
        <v>Clean</v>
      </c>
    </row>
    <row r="197" spans="1:30" x14ac:dyDescent="0.3">
      <c r="A197" t="s">
        <v>703</v>
      </c>
      <c r="B197" s="2">
        <v>45860</v>
      </c>
      <c r="C197" s="2">
        <v>45862</v>
      </c>
      <c r="D197" t="s">
        <v>704</v>
      </c>
      <c r="E197" t="s">
        <v>88</v>
      </c>
      <c r="F197" t="s">
        <v>104</v>
      </c>
      <c r="G197" t="s">
        <v>63</v>
      </c>
      <c r="H197" t="s">
        <v>93</v>
      </c>
      <c r="I197" t="s">
        <v>94</v>
      </c>
      <c r="J197" t="s">
        <v>50</v>
      </c>
      <c r="K197" t="s">
        <v>66</v>
      </c>
      <c r="L197" t="s">
        <v>705</v>
      </c>
      <c r="M197" t="s">
        <v>53</v>
      </c>
      <c r="N197">
        <v>5</v>
      </c>
      <c r="O197">
        <v>1922.83</v>
      </c>
      <c r="P197" s="3">
        <v>0</v>
      </c>
      <c r="Q197">
        <v>9614.15</v>
      </c>
      <c r="R197">
        <v>7576.84</v>
      </c>
      <c r="S197">
        <v>2037.31</v>
      </c>
      <c r="T197" t="s">
        <v>41</v>
      </c>
      <c r="U197" t="s">
        <v>42</v>
      </c>
      <c r="V197" s="3">
        <f t="shared" si="27"/>
        <v>0</v>
      </c>
      <c r="W197">
        <f t="shared" si="28"/>
        <v>9614.15</v>
      </c>
      <c r="X197">
        <f t="shared" si="29"/>
        <v>2037.3099999999995</v>
      </c>
      <c r="Y197" s="4">
        <f t="shared" si="30"/>
        <v>0.21190744891644084</v>
      </c>
      <c r="Z197">
        <f t="shared" si="31"/>
        <v>2</v>
      </c>
      <c r="AA197">
        <f t="shared" si="32"/>
        <v>7</v>
      </c>
      <c r="AB197">
        <f t="shared" si="33"/>
        <v>2025</v>
      </c>
      <c r="AC197" t="str">
        <f t="shared" si="34"/>
        <v>Unique</v>
      </c>
      <c r="AD197" t="str">
        <f t="shared" si="35"/>
        <v>Clean</v>
      </c>
    </row>
    <row r="198" spans="1:30" x14ac:dyDescent="0.3">
      <c r="A198" t="s">
        <v>706</v>
      </c>
      <c r="B198" s="2">
        <v>45313</v>
      </c>
      <c r="C198" s="2">
        <v>45316</v>
      </c>
      <c r="D198" t="s">
        <v>707</v>
      </c>
      <c r="E198" t="s">
        <v>274</v>
      </c>
      <c r="F198" t="s">
        <v>104</v>
      </c>
      <c r="G198" t="s">
        <v>34</v>
      </c>
      <c r="H198" t="s">
        <v>145</v>
      </c>
      <c r="I198" t="s">
        <v>146</v>
      </c>
      <c r="J198" t="s">
        <v>37</v>
      </c>
      <c r="K198" t="s">
        <v>133</v>
      </c>
      <c r="L198" t="s">
        <v>708</v>
      </c>
      <c r="M198" t="s">
        <v>59</v>
      </c>
      <c r="N198">
        <v>3</v>
      </c>
      <c r="O198">
        <v>1212.03</v>
      </c>
      <c r="P198" s="3">
        <v>0.1</v>
      </c>
      <c r="Q198">
        <v>3272.48</v>
      </c>
      <c r="R198">
        <v>2517.44</v>
      </c>
      <c r="S198">
        <v>755.04</v>
      </c>
      <c r="T198" t="s">
        <v>41</v>
      </c>
      <c r="U198" t="s">
        <v>42</v>
      </c>
      <c r="V198" s="3">
        <f t="shared" si="27"/>
        <v>0.1</v>
      </c>
      <c r="W198">
        <f t="shared" si="28"/>
        <v>3272.4810000000002</v>
      </c>
      <c r="X198">
        <f t="shared" si="29"/>
        <v>755.04100000000017</v>
      </c>
      <c r="Y198" s="4">
        <f t="shared" si="30"/>
        <v>0.23072433422837293</v>
      </c>
      <c r="Z198">
        <f t="shared" si="31"/>
        <v>3</v>
      </c>
      <c r="AA198">
        <f t="shared" si="32"/>
        <v>1</v>
      </c>
      <c r="AB198">
        <f t="shared" si="33"/>
        <v>2024</v>
      </c>
      <c r="AC198" t="str">
        <f t="shared" si="34"/>
        <v>Unique</v>
      </c>
      <c r="AD198" t="str">
        <f t="shared" si="35"/>
        <v>Clean</v>
      </c>
    </row>
    <row r="199" spans="1:30" x14ac:dyDescent="0.3">
      <c r="A199" t="s">
        <v>709</v>
      </c>
      <c r="B199" s="2">
        <v>45747</v>
      </c>
      <c r="C199" s="2">
        <v>45754</v>
      </c>
      <c r="D199" t="s">
        <v>400</v>
      </c>
      <c r="E199" t="s">
        <v>127</v>
      </c>
      <c r="F199" t="s">
        <v>46</v>
      </c>
      <c r="G199" t="s">
        <v>47</v>
      </c>
      <c r="H199" t="s">
        <v>154</v>
      </c>
      <c r="I199" t="s">
        <v>155</v>
      </c>
      <c r="J199" t="s">
        <v>37</v>
      </c>
      <c r="K199" t="s">
        <v>133</v>
      </c>
      <c r="L199" t="s">
        <v>710</v>
      </c>
      <c r="M199" t="s">
        <v>40</v>
      </c>
      <c r="N199">
        <v>5</v>
      </c>
      <c r="O199">
        <v>4096.4399999999996</v>
      </c>
      <c r="P199" s="3">
        <v>0.15</v>
      </c>
      <c r="Q199">
        <v>17409.87</v>
      </c>
      <c r="R199">
        <v>14076.25</v>
      </c>
      <c r="S199">
        <v>3333.62</v>
      </c>
      <c r="T199" t="s">
        <v>41</v>
      </c>
      <c r="U199" t="s">
        <v>42</v>
      </c>
      <c r="V199" s="3">
        <f t="shared" si="27"/>
        <v>0.15</v>
      </c>
      <c r="W199">
        <f t="shared" si="28"/>
        <v>17409.869999999995</v>
      </c>
      <c r="X199">
        <f t="shared" si="29"/>
        <v>3333.6199999999953</v>
      </c>
      <c r="Y199" s="4">
        <f t="shared" si="30"/>
        <v>0.19147874165631312</v>
      </c>
      <c r="Z199">
        <f t="shared" si="31"/>
        <v>7</v>
      </c>
      <c r="AA199">
        <f t="shared" si="32"/>
        <v>3</v>
      </c>
      <c r="AB199">
        <f t="shared" si="33"/>
        <v>2025</v>
      </c>
      <c r="AC199" t="str">
        <f t="shared" si="34"/>
        <v>Unique</v>
      </c>
      <c r="AD199" t="str">
        <f t="shared" si="35"/>
        <v>Clean</v>
      </c>
    </row>
    <row r="200" spans="1:30" x14ac:dyDescent="0.3">
      <c r="A200" t="s">
        <v>711</v>
      </c>
      <c r="B200" s="2">
        <v>45448</v>
      </c>
      <c r="C200" s="2">
        <v>45449</v>
      </c>
      <c r="D200" t="s">
        <v>712</v>
      </c>
      <c r="E200" t="s">
        <v>141</v>
      </c>
      <c r="F200" t="s">
        <v>33</v>
      </c>
      <c r="G200" t="s">
        <v>72</v>
      </c>
      <c r="H200" t="s">
        <v>189</v>
      </c>
      <c r="I200" t="s">
        <v>190</v>
      </c>
      <c r="J200" t="s">
        <v>37</v>
      </c>
      <c r="K200" t="s">
        <v>57</v>
      </c>
      <c r="L200" t="s">
        <v>713</v>
      </c>
      <c r="M200" t="s">
        <v>40</v>
      </c>
      <c r="N200">
        <v>1</v>
      </c>
      <c r="O200">
        <v>1184.58</v>
      </c>
      <c r="P200" s="3">
        <v>0.05</v>
      </c>
      <c r="Q200">
        <v>1125.3499999999999</v>
      </c>
      <c r="R200">
        <v>676.97</v>
      </c>
      <c r="S200">
        <v>448.38</v>
      </c>
      <c r="T200" t="s">
        <v>164</v>
      </c>
      <c r="U200" t="s">
        <v>77</v>
      </c>
      <c r="V200" s="3">
        <f t="shared" si="27"/>
        <v>0.05</v>
      </c>
      <c r="W200">
        <f t="shared" si="28"/>
        <v>1125.3509999999999</v>
      </c>
      <c r="X200">
        <f t="shared" si="29"/>
        <v>448.38099999999986</v>
      </c>
      <c r="Y200" s="4">
        <f t="shared" si="30"/>
        <v>0.39843657667696558</v>
      </c>
      <c r="Z200">
        <f t="shared" si="31"/>
        <v>1</v>
      </c>
      <c r="AA200">
        <f t="shared" si="32"/>
        <v>6</v>
      </c>
      <c r="AB200">
        <f t="shared" si="33"/>
        <v>2024</v>
      </c>
      <c r="AC200" t="str">
        <f t="shared" si="34"/>
        <v>Unique</v>
      </c>
      <c r="AD200" t="str">
        <f t="shared" si="35"/>
        <v>Warning</v>
      </c>
    </row>
    <row r="201" spans="1:30" x14ac:dyDescent="0.3">
      <c r="A201" t="s">
        <v>714</v>
      </c>
      <c r="B201" s="2">
        <v>45363</v>
      </c>
      <c r="C201" s="2">
        <v>45363</v>
      </c>
      <c r="D201" t="s">
        <v>715</v>
      </c>
      <c r="E201" t="s">
        <v>127</v>
      </c>
      <c r="F201" t="s">
        <v>104</v>
      </c>
      <c r="G201" t="s">
        <v>47</v>
      </c>
      <c r="H201" t="s">
        <v>154</v>
      </c>
      <c r="I201" t="s">
        <v>155</v>
      </c>
      <c r="J201" t="s">
        <v>83</v>
      </c>
      <c r="K201" t="s">
        <v>284</v>
      </c>
      <c r="L201" t="s">
        <v>716</v>
      </c>
      <c r="M201" t="s">
        <v>214</v>
      </c>
      <c r="N201">
        <v>6</v>
      </c>
      <c r="O201">
        <v>2185.58</v>
      </c>
      <c r="P201" s="3">
        <v>0.25</v>
      </c>
      <c r="Q201">
        <v>9835.11</v>
      </c>
      <c r="R201">
        <v>5437.64</v>
      </c>
      <c r="S201">
        <v>4397.47</v>
      </c>
      <c r="T201" t="s">
        <v>41</v>
      </c>
      <c r="U201" t="s">
        <v>42</v>
      </c>
      <c r="V201" s="3">
        <f t="shared" si="27"/>
        <v>0.25</v>
      </c>
      <c r="W201">
        <f t="shared" si="28"/>
        <v>9835.11</v>
      </c>
      <c r="X201">
        <f t="shared" si="29"/>
        <v>4397.47</v>
      </c>
      <c r="Y201" s="4">
        <f t="shared" si="30"/>
        <v>0.44711955433136996</v>
      </c>
      <c r="Z201">
        <f t="shared" si="31"/>
        <v>0</v>
      </c>
      <c r="AA201">
        <f t="shared" si="32"/>
        <v>3</v>
      </c>
      <c r="AB201">
        <f t="shared" si="33"/>
        <v>2024</v>
      </c>
      <c r="AC201" t="str">
        <f t="shared" si="34"/>
        <v>Unique</v>
      </c>
      <c r="AD201" t="str">
        <f t="shared" si="35"/>
        <v>Warning</v>
      </c>
    </row>
    <row r="202" spans="1:30" x14ac:dyDescent="0.3">
      <c r="A202" t="s">
        <v>717</v>
      </c>
      <c r="B202" s="2">
        <v>45835</v>
      </c>
      <c r="C202" s="2">
        <v>45843</v>
      </c>
      <c r="D202" t="s">
        <v>718</v>
      </c>
      <c r="E202" t="s">
        <v>123</v>
      </c>
      <c r="F202" t="s">
        <v>46</v>
      </c>
      <c r="G202" t="s">
        <v>34</v>
      </c>
      <c r="H202" t="s">
        <v>35</v>
      </c>
      <c r="I202" t="s">
        <v>36</v>
      </c>
      <c r="J202" t="s">
        <v>83</v>
      </c>
      <c r="K202" t="s">
        <v>89</v>
      </c>
      <c r="L202" t="s">
        <v>719</v>
      </c>
      <c r="M202" t="s">
        <v>59</v>
      </c>
      <c r="N202">
        <v>5</v>
      </c>
      <c r="O202">
        <v>2868.44</v>
      </c>
      <c r="P202" s="3">
        <v>0.1</v>
      </c>
      <c r="Q202">
        <v>12907.98</v>
      </c>
      <c r="R202">
        <v>9197.08</v>
      </c>
      <c r="S202">
        <v>3710.9</v>
      </c>
      <c r="T202" t="s">
        <v>120</v>
      </c>
      <c r="U202" t="s">
        <v>77</v>
      </c>
      <c r="V202" s="3">
        <f t="shared" si="27"/>
        <v>0.1</v>
      </c>
      <c r="W202">
        <f t="shared" si="28"/>
        <v>12907.980000000001</v>
      </c>
      <c r="X202">
        <f t="shared" si="29"/>
        <v>3710.9000000000015</v>
      </c>
      <c r="Y202" s="4">
        <f t="shared" si="30"/>
        <v>0.28748882474252369</v>
      </c>
      <c r="Z202">
        <f t="shared" si="31"/>
        <v>8</v>
      </c>
      <c r="AA202">
        <f t="shared" si="32"/>
        <v>6</v>
      </c>
      <c r="AB202">
        <f t="shared" si="33"/>
        <v>2025</v>
      </c>
      <c r="AC202" t="str">
        <f t="shared" si="34"/>
        <v>Unique</v>
      </c>
      <c r="AD202" t="str">
        <f t="shared" si="35"/>
        <v>Warning</v>
      </c>
    </row>
    <row r="203" spans="1:30" x14ac:dyDescent="0.3">
      <c r="A203" t="s">
        <v>720</v>
      </c>
      <c r="B203" s="2">
        <v>45864</v>
      </c>
      <c r="C203" s="2">
        <v>45872</v>
      </c>
      <c r="D203" t="s">
        <v>721</v>
      </c>
      <c r="E203" t="s">
        <v>80</v>
      </c>
      <c r="F203" t="s">
        <v>33</v>
      </c>
      <c r="G203" t="s">
        <v>72</v>
      </c>
      <c r="H203" t="s">
        <v>81</v>
      </c>
      <c r="I203" t="s">
        <v>82</v>
      </c>
      <c r="J203" t="s">
        <v>37</v>
      </c>
      <c r="K203" t="s">
        <v>100</v>
      </c>
      <c r="L203" t="s">
        <v>722</v>
      </c>
      <c r="M203" t="s">
        <v>40</v>
      </c>
      <c r="N203">
        <v>2</v>
      </c>
      <c r="O203">
        <v>2503.5300000000002</v>
      </c>
      <c r="P203" s="3">
        <v>-0.16</v>
      </c>
      <c r="Q203">
        <v>4756.71</v>
      </c>
      <c r="R203">
        <v>2954.86</v>
      </c>
      <c r="S203">
        <v>1801.85</v>
      </c>
      <c r="T203" t="s">
        <v>111</v>
      </c>
      <c r="U203" t="s">
        <v>77</v>
      </c>
      <c r="V203" s="3">
        <f t="shared" si="27"/>
        <v>0.16</v>
      </c>
      <c r="W203">
        <f t="shared" si="28"/>
        <v>4205.9304000000002</v>
      </c>
      <c r="X203">
        <f t="shared" si="29"/>
        <v>1251.0704000000001</v>
      </c>
      <c r="Y203" s="4">
        <f t="shared" si="30"/>
        <v>0.29745389985530907</v>
      </c>
      <c r="Z203">
        <f t="shared" si="31"/>
        <v>8</v>
      </c>
      <c r="AA203">
        <f t="shared" si="32"/>
        <v>7</v>
      </c>
      <c r="AB203">
        <f t="shared" si="33"/>
        <v>2025</v>
      </c>
      <c r="AC203" t="str">
        <f t="shared" si="34"/>
        <v>Unique</v>
      </c>
      <c r="AD203" t="str">
        <f t="shared" si="35"/>
        <v>Invalid</v>
      </c>
    </row>
    <row r="204" spans="1:30" x14ac:dyDescent="0.3">
      <c r="A204" t="s">
        <v>723</v>
      </c>
      <c r="B204" s="2">
        <v>45744</v>
      </c>
      <c r="C204" s="2">
        <v>45744</v>
      </c>
      <c r="D204" t="s">
        <v>724</v>
      </c>
      <c r="E204" t="s">
        <v>141</v>
      </c>
      <c r="F204" t="s">
        <v>99</v>
      </c>
      <c r="G204" t="s">
        <v>72</v>
      </c>
      <c r="H204" t="s">
        <v>199</v>
      </c>
      <c r="I204" t="s">
        <v>200</v>
      </c>
      <c r="J204" t="s">
        <v>83</v>
      </c>
      <c r="K204" t="s">
        <v>84</v>
      </c>
      <c r="L204" t="s">
        <v>725</v>
      </c>
      <c r="M204" t="s">
        <v>68</v>
      </c>
      <c r="N204">
        <v>8</v>
      </c>
      <c r="O204">
        <v>1740.94</v>
      </c>
      <c r="P204" s="3">
        <v>0.05</v>
      </c>
      <c r="Q204">
        <v>13231.14</v>
      </c>
      <c r="R204">
        <v>11290.06</v>
      </c>
      <c r="S204">
        <v>1941.08</v>
      </c>
      <c r="T204" t="s">
        <v>41</v>
      </c>
      <c r="U204" t="s">
        <v>42</v>
      </c>
      <c r="V204" s="3">
        <f t="shared" si="27"/>
        <v>0.05</v>
      </c>
      <c r="W204">
        <f t="shared" si="28"/>
        <v>13231.144</v>
      </c>
      <c r="X204">
        <f t="shared" si="29"/>
        <v>1941.0840000000007</v>
      </c>
      <c r="Y204" s="4">
        <f t="shared" si="30"/>
        <v>0.14670568168557463</v>
      </c>
      <c r="Z204">
        <f t="shared" si="31"/>
        <v>0</v>
      </c>
      <c r="AA204">
        <f t="shared" si="32"/>
        <v>3</v>
      </c>
      <c r="AB204">
        <f t="shared" si="33"/>
        <v>2025</v>
      </c>
      <c r="AC204" t="str">
        <f t="shared" si="34"/>
        <v>Unique</v>
      </c>
      <c r="AD204" t="str">
        <f t="shared" si="35"/>
        <v>Clean</v>
      </c>
    </row>
    <row r="205" spans="1:30" x14ac:dyDescent="0.3">
      <c r="A205" t="s">
        <v>726</v>
      </c>
      <c r="B205" s="2">
        <v>45379</v>
      </c>
      <c r="C205" s="2">
        <v>45381</v>
      </c>
      <c r="D205" t="s">
        <v>727</v>
      </c>
      <c r="E205" t="s">
        <v>141</v>
      </c>
      <c r="F205" t="s">
        <v>99</v>
      </c>
      <c r="G205" t="s">
        <v>72</v>
      </c>
      <c r="H205" t="s">
        <v>35</v>
      </c>
      <c r="I205" t="s">
        <v>118</v>
      </c>
      <c r="J205" t="s">
        <v>83</v>
      </c>
      <c r="K205" t="s">
        <v>84</v>
      </c>
      <c r="L205" t="s">
        <v>728</v>
      </c>
      <c r="M205" t="s">
        <v>40</v>
      </c>
      <c r="N205">
        <v>1</v>
      </c>
      <c r="O205">
        <v>570.34</v>
      </c>
      <c r="P205" s="3">
        <v>0.15</v>
      </c>
      <c r="Q205">
        <v>484.79</v>
      </c>
      <c r="R205">
        <v>333.54</v>
      </c>
      <c r="S205">
        <v>151.25</v>
      </c>
      <c r="T205" t="s">
        <v>41</v>
      </c>
      <c r="U205" t="s">
        <v>42</v>
      </c>
      <c r="V205" s="3">
        <f t="shared" si="27"/>
        <v>0.15</v>
      </c>
      <c r="W205">
        <f t="shared" si="28"/>
        <v>484.78899999999999</v>
      </c>
      <c r="X205">
        <f t="shared" si="29"/>
        <v>151.24899999999997</v>
      </c>
      <c r="Y205" s="4">
        <f t="shared" si="30"/>
        <v>0.3119893396921134</v>
      </c>
      <c r="Z205">
        <f t="shared" si="31"/>
        <v>2</v>
      </c>
      <c r="AA205">
        <f t="shared" si="32"/>
        <v>3</v>
      </c>
      <c r="AB205">
        <f t="shared" si="33"/>
        <v>2024</v>
      </c>
      <c r="AC205" t="str">
        <f t="shared" si="34"/>
        <v>Unique</v>
      </c>
      <c r="AD205" t="str">
        <f t="shared" si="35"/>
        <v>Clean</v>
      </c>
    </row>
    <row r="206" spans="1:30" x14ac:dyDescent="0.3">
      <c r="A206" t="s">
        <v>729</v>
      </c>
      <c r="B206" s="2">
        <v>45858</v>
      </c>
      <c r="C206" s="2">
        <v>45861</v>
      </c>
      <c r="D206" t="s">
        <v>730</v>
      </c>
      <c r="E206" t="s">
        <v>45</v>
      </c>
      <c r="F206" t="s">
        <v>104</v>
      </c>
      <c r="G206" t="s">
        <v>47</v>
      </c>
      <c r="H206" t="s">
        <v>108</v>
      </c>
      <c r="I206" t="s">
        <v>109</v>
      </c>
      <c r="J206" t="s">
        <v>50</v>
      </c>
      <c r="K206" t="s">
        <v>51</v>
      </c>
      <c r="L206" t="s">
        <v>731</v>
      </c>
      <c r="M206" t="s">
        <v>40</v>
      </c>
      <c r="N206">
        <v>4</v>
      </c>
      <c r="O206">
        <v>477.69</v>
      </c>
      <c r="P206" s="3">
        <v>0.15</v>
      </c>
      <c r="Q206">
        <v>1624.15</v>
      </c>
      <c r="R206">
        <v>1217.99</v>
      </c>
      <c r="S206">
        <v>406.16</v>
      </c>
      <c r="T206" t="s">
        <v>41</v>
      </c>
      <c r="U206" t="s">
        <v>42</v>
      </c>
      <c r="V206" s="3">
        <f t="shared" si="27"/>
        <v>0.15</v>
      </c>
      <c r="W206">
        <f t="shared" si="28"/>
        <v>1624.146</v>
      </c>
      <c r="X206">
        <f t="shared" si="29"/>
        <v>406.15599999999995</v>
      </c>
      <c r="Y206" s="4">
        <f t="shared" si="30"/>
        <v>0.25007357712914968</v>
      </c>
      <c r="Z206">
        <f t="shared" si="31"/>
        <v>3</v>
      </c>
      <c r="AA206">
        <f t="shared" si="32"/>
        <v>7</v>
      </c>
      <c r="AB206">
        <f t="shared" si="33"/>
        <v>2025</v>
      </c>
      <c r="AC206" t="str">
        <f t="shared" si="34"/>
        <v>Unique</v>
      </c>
      <c r="AD206" t="str">
        <f t="shared" si="35"/>
        <v>Clean</v>
      </c>
    </row>
    <row r="207" spans="1:30" x14ac:dyDescent="0.3">
      <c r="A207" t="s">
        <v>732</v>
      </c>
      <c r="B207" s="2">
        <v>45768</v>
      </c>
      <c r="C207" s="2">
        <v>45773</v>
      </c>
      <c r="D207" t="s">
        <v>733</v>
      </c>
      <c r="E207" t="s">
        <v>71</v>
      </c>
      <c r="F207" t="s">
        <v>33</v>
      </c>
      <c r="G207" t="s">
        <v>72</v>
      </c>
      <c r="H207" t="s">
        <v>73</v>
      </c>
      <c r="I207" t="s">
        <v>74</v>
      </c>
      <c r="J207" t="s">
        <v>37</v>
      </c>
      <c r="K207" t="s">
        <v>100</v>
      </c>
      <c r="L207" t="s">
        <v>734</v>
      </c>
      <c r="M207" t="s">
        <v>53</v>
      </c>
      <c r="N207">
        <v>6</v>
      </c>
      <c r="O207">
        <v>873.59</v>
      </c>
      <c r="P207" s="3">
        <v>0.2</v>
      </c>
      <c r="Q207">
        <v>4193.2299999999996</v>
      </c>
      <c r="R207">
        <v>3329.99</v>
      </c>
      <c r="S207">
        <v>863.24</v>
      </c>
      <c r="T207" t="s">
        <v>41</v>
      </c>
      <c r="U207" t="s">
        <v>42</v>
      </c>
      <c r="V207" s="3">
        <f t="shared" si="27"/>
        <v>0.2</v>
      </c>
      <c r="W207">
        <f t="shared" si="28"/>
        <v>4193.232</v>
      </c>
      <c r="X207">
        <f t="shared" si="29"/>
        <v>863.24200000000019</v>
      </c>
      <c r="Y207" s="4">
        <f t="shared" si="30"/>
        <v>0.2058655471483572</v>
      </c>
      <c r="Z207">
        <f t="shared" si="31"/>
        <v>5</v>
      </c>
      <c r="AA207">
        <f t="shared" si="32"/>
        <v>4</v>
      </c>
      <c r="AB207">
        <f t="shared" si="33"/>
        <v>2025</v>
      </c>
      <c r="AC207" t="str">
        <f t="shared" si="34"/>
        <v>Unique</v>
      </c>
      <c r="AD207" t="str">
        <f t="shared" si="35"/>
        <v>Clean</v>
      </c>
    </row>
    <row r="208" spans="1:30" x14ac:dyDescent="0.3">
      <c r="A208" t="s">
        <v>735</v>
      </c>
      <c r="B208" s="2">
        <v>45795</v>
      </c>
      <c r="C208" s="2">
        <v>45797</v>
      </c>
      <c r="D208" t="s">
        <v>736</v>
      </c>
      <c r="E208" t="s">
        <v>171</v>
      </c>
      <c r="F208" t="s">
        <v>46</v>
      </c>
      <c r="G208" t="s">
        <v>34</v>
      </c>
      <c r="H208" t="s">
        <v>145</v>
      </c>
      <c r="I208" t="s">
        <v>146</v>
      </c>
      <c r="J208" t="s">
        <v>50</v>
      </c>
      <c r="K208" t="s">
        <v>66</v>
      </c>
      <c r="L208" t="s">
        <v>737</v>
      </c>
      <c r="M208" t="s">
        <v>59</v>
      </c>
      <c r="N208">
        <v>2</v>
      </c>
      <c r="O208">
        <v>215.13</v>
      </c>
      <c r="P208" s="3">
        <v>0</v>
      </c>
      <c r="Q208">
        <v>430.26</v>
      </c>
      <c r="R208">
        <v>286.38</v>
      </c>
      <c r="S208">
        <v>143.88</v>
      </c>
      <c r="T208" t="s">
        <v>41</v>
      </c>
      <c r="U208" t="s">
        <v>42</v>
      </c>
      <c r="V208" s="3">
        <f t="shared" si="27"/>
        <v>0</v>
      </c>
      <c r="W208">
        <f t="shared" si="28"/>
        <v>430.26</v>
      </c>
      <c r="X208">
        <f t="shared" si="29"/>
        <v>143.88</v>
      </c>
      <c r="Y208" s="4">
        <f t="shared" si="30"/>
        <v>0.33440245432994004</v>
      </c>
      <c r="Z208">
        <f t="shared" si="31"/>
        <v>2</v>
      </c>
      <c r="AA208">
        <f t="shared" si="32"/>
        <v>5</v>
      </c>
      <c r="AB208">
        <f t="shared" si="33"/>
        <v>2025</v>
      </c>
      <c r="AC208" t="str">
        <f t="shared" si="34"/>
        <v>Unique</v>
      </c>
      <c r="AD208" t="str">
        <f t="shared" si="35"/>
        <v>Clean</v>
      </c>
    </row>
    <row r="209" spans="1:30" x14ac:dyDescent="0.3">
      <c r="A209" t="s">
        <v>738</v>
      </c>
      <c r="B209" s="2">
        <v>45483</v>
      </c>
      <c r="C209" s="2">
        <v>45489</v>
      </c>
      <c r="D209" t="s">
        <v>739</v>
      </c>
      <c r="E209" t="s">
        <v>137</v>
      </c>
      <c r="F209" t="s">
        <v>104</v>
      </c>
      <c r="G209" t="s">
        <v>72</v>
      </c>
      <c r="H209" t="s">
        <v>199</v>
      </c>
      <c r="I209" t="s">
        <v>200</v>
      </c>
      <c r="J209" t="s">
        <v>50</v>
      </c>
      <c r="K209" t="s">
        <v>167</v>
      </c>
      <c r="L209" t="s">
        <v>740</v>
      </c>
      <c r="M209" t="s">
        <v>40</v>
      </c>
      <c r="N209">
        <v>2</v>
      </c>
      <c r="O209">
        <v>1095.45</v>
      </c>
      <c r="P209" s="3">
        <v>0.2</v>
      </c>
      <c r="Q209">
        <v>1752.72</v>
      </c>
      <c r="R209">
        <v>996.41</v>
      </c>
      <c r="S209">
        <v>756.31</v>
      </c>
      <c r="T209" t="s">
        <v>41</v>
      </c>
      <c r="U209" t="s">
        <v>42</v>
      </c>
      <c r="V209" s="3">
        <f t="shared" si="27"/>
        <v>0.2</v>
      </c>
      <c r="W209">
        <f t="shared" si="28"/>
        <v>1752.7200000000003</v>
      </c>
      <c r="X209">
        <f t="shared" si="29"/>
        <v>756.31000000000029</v>
      </c>
      <c r="Y209" s="4">
        <f t="shared" si="30"/>
        <v>0.43150645853302305</v>
      </c>
      <c r="Z209">
        <f t="shared" si="31"/>
        <v>6</v>
      </c>
      <c r="AA209">
        <f t="shared" si="32"/>
        <v>7</v>
      </c>
      <c r="AB209">
        <f t="shared" si="33"/>
        <v>2024</v>
      </c>
      <c r="AC209" t="str">
        <f t="shared" si="34"/>
        <v>Unique</v>
      </c>
      <c r="AD209" t="str">
        <f t="shared" si="35"/>
        <v>Clean</v>
      </c>
    </row>
    <row r="210" spans="1:30" x14ac:dyDescent="0.3">
      <c r="A210" t="s">
        <v>741</v>
      </c>
      <c r="B210" s="2">
        <v>45837</v>
      </c>
      <c r="C210" s="2">
        <v>45843</v>
      </c>
      <c r="D210" t="s">
        <v>742</v>
      </c>
      <c r="E210" t="s">
        <v>171</v>
      </c>
      <c r="F210" t="s">
        <v>33</v>
      </c>
      <c r="G210" t="s">
        <v>34</v>
      </c>
      <c r="H210" t="s">
        <v>131</v>
      </c>
      <c r="I210" t="s">
        <v>132</v>
      </c>
      <c r="J210" t="s">
        <v>50</v>
      </c>
      <c r="K210" t="s">
        <v>75</v>
      </c>
      <c r="L210" t="s">
        <v>743</v>
      </c>
      <c r="M210" t="s">
        <v>53</v>
      </c>
      <c r="N210">
        <v>1</v>
      </c>
      <c r="O210">
        <v>999.83</v>
      </c>
      <c r="P210" s="3">
        <v>0</v>
      </c>
      <c r="Q210">
        <v>999.83</v>
      </c>
      <c r="R210">
        <v>634.91</v>
      </c>
      <c r="S210">
        <v>364.92</v>
      </c>
      <c r="T210" t="s">
        <v>41</v>
      </c>
      <c r="U210" t="s">
        <v>42</v>
      </c>
      <c r="V210" s="3">
        <f t="shared" si="27"/>
        <v>0</v>
      </c>
      <c r="W210">
        <f t="shared" si="28"/>
        <v>999.83</v>
      </c>
      <c r="X210">
        <f t="shared" si="29"/>
        <v>364.92000000000007</v>
      </c>
      <c r="Y210" s="4">
        <f t="shared" si="30"/>
        <v>0.3649820469479812</v>
      </c>
      <c r="Z210">
        <f t="shared" si="31"/>
        <v>6</v>
      </c>
      <c r="AA210">
        <f t="shared" si="32"/>
        <v>6</v>
      </c>
      <c r="AB210">
        <f t="shared" si="33"/>
        <v>2025</v>
      </c>
      <c r="AC210" t="str">
        <f t="shared" si="34"/>
        <v>Unique</v>
      </c>
      <c r="AD210" t="str">
        <f t="shared" si="35"/>
        <v>Clean</v>
      </c>
    </row>
    <row r="211" spans="1:30" x14ac:dyDescent="0.3">
      <c r="A211" t="s">
        <v>744</v>
      </c>
      <c r="B211" s="2">
        <v>45882</v>
      </c>
      <c r="C211" s="2">
        <v>45883</v>
      </c>
      <c r="D211" t="s">
        <v>745</v>
      </c>
      <c r="E211" t="s">
        <v>150</v>
      </c>
      <c r="F211" t="s">
        <v>46</v>
      </c>
      <c r="G211" t="s">
        <v>63</v>
      </c>
      <c r="H211" t="s">
        <v>93</v>
      </c>
      <c r="I211" t="s">
        <v>94</v>
      </c>
      <c r="J211" t="s">
        <v>37</v>
      </c>
      <c r="K211" t="s">
        <v>38</v>
      </c>
      <c r="L211" t="s">
        <v>746</v>
      </c>
      <c r="M211" t="s">
        <v>59</v>
      </c>
      <c r="N211">
        <v>9</v>
      </c>
      <c r="O211">
        <v>864.98</v>
      </c>
      <c r="P211" s="3">
        <v>0.1</v>
      </c>
      <c r="Q211">
        <v>7006.34</v>
      </c>
      <c r="R211">
        <v>4640.88</v>
      </c>
      <c r="S211">
        <v>2365.46</v>
      </c>
      <c r="T211" t="s">
        <v>41</v>
      </c>
      <c r="U211" t="s">
        <v>42</v>
      </c>
      <c r="V211" s="3">
        <f t="shared" si="27"/>
        <v>0.1</v>
      </c>
      <c r="W211">
        <f t="shared" si="28"/>
        <v>7006.3379999999997</v>
      </c>
      <c r="X211">
        <f t="shared" si="29"/>
        <v>2365.4579999999996</v>
      </c>
      <c r="Y211" s="4">
        <f t="shared" si="30"/>
        <v>0.33761688345609359</v>
      </c>
      <c r="Z211">
        <f t="shared" si="31"/>
        <v>1</v>
      </c>
      <c r="AA211">
        <f t="shared" si="32"/>
        <v>8</v>
      </c>
      <c r="AB211">
        <f t="shared" si="33"/>
        <v>2025</v>
      </c>
      <c r="AC211" t="str">
        <f t="shared" si="34"/>
        <v>Unique</v>
      </c>
      <c r="AD211" t="str">
        <f t="shared" si="35"/>
        <v>Clean</v>
      </c>
    </row>
    <row r="212" spans="1:30" x14ac:dyDescent="0.3">
      <c r="A212" t="s">
        <v>747</v>
      </c>
      <c r="B212" s="2">
        <v>45366</v>
      </c>
      <c r="C212" s="2">
        <v>45369</v>
      </c>
      <c r="D212" t="s">
        <v>748</v>
      </c>
      <c r="E212" t="s">
        <v>274</v>
      </c>
      <c r="F212" t="s">
        <v>104</v>
      </c>
      <c r="G212" t="s">
        <v>63</v>
      </c>
      <c r="H212" t="s">
        <v>184</v>
      </c>
      <c r="I212" t="s">
        <v>185</v>
      </c>
      <c r="J212" t="s">
        <v>83</v>
      </c>
      <c r="K212" t="s">
        <v>284</v>
      </c>
      <c r="L212" t="s">
        <v>749</v>
      </c>
      <c r="M212" t="s">
        <v>40</v>
      </c>
      <c r="N212">
        <v>1</v>
      </c>
      <c r="O212">
        <v>4131.3599999999997</v>
      </c>
      <c r="P212" s="3">
        <v>0</v>
      </c>
      <c r="Q212">
        <v>4131.3599999999997</v>
      </c>
      <c r="R212">
        <v>2937.07</v>
      </c>
      <c r="S212">
        <v>1194.29</v>
      </c>
      <c r="T212" t="s">
        <v>164</v>
      </c>
      <c r="U212" t="s">
        <v>112</v>
      </c>
      <c r="V212" s="3">
        <f t="shared" si="27"/>
        <v>0</v>
      </c>
      <c r="W212">
        <f t="shared" si="28"/>
        <v>4131.3599999999997</v>
      </c>
      <c r="X212">
        <f t="shared" si="29"/>
        <v>1194.2899999999995</v>
      </c>
      <c r="Y212" s="4">
        <f t="shared" si="30"/>
        <v>0.28907914100925591</v>
      </c>
      <c r="Z212">
        <f t="shared" si="31"/>
        <v>3</v>
      </c>
      <c r="AA212">
        <f t="shared" si="32"/>
        <v>3</v>
      </c>
      <c r="AB212">
        <f t="shared" si="33"/>
        <v>2024</v>
      </c>
      <c r="AC212" t="str">
        <f t="shared" si="34"/>
        <v>Unique</v>
      </c>
      <c r="AD212" t="str">
        <f t="shared" si="35"/>
        <v>Warning</v>
      </c>
    </row>
    <row r="213" spans="1:30" x14ac:dyDescent="0.3">
      <c r="A213" t="s">
        <v>750</v>
      </c>
      <c r="B213" s="2">
        <v>45428</v>
      </c>
      <c r="C213" s="2">
        <v>45429</v>
      </c>
      <c r="D213" t="s">
        <v>751</v>
      </c>
      <c r="E213" t="s">
        <v>150</v>
      </c>
      <c r="F213" t="s">
        <v>99</v>
      </c>
      <c r="G213" t="s">
        <v>47</v>
      </c>
      <c r="H213" t="s">
        <v>108</v>
      </c>
      <c r="I213" t="s">
        <v>109</v>
      </c>
      <c r="J213" t="s">
        <v>83</v>
      </c>
      <c r="K213" t="s">
        <v>89</v>
      </c>
      <c r="L213" t="s">
        <v>752</v>
      </c>
      <c r="M213" t="s">
        <v>40</v>
      </c>
      <c r="N213">
        <v>8</v>
      </c>
      <c r="O213">
        <v>4221.95</v>
      </c>
      <c r="P213" s="3">
        <v>0.2</v>
      </c>
      <c r="Q213">
        <v>27020.48</v>
      </c>
      <c r="R213">
        <v>22885.24</v>
      </c>
      <c r="S213">
        <v>4135.24</v>
      </c>
      <c r="T213" t="s">
        <v>41</v>
      </c>
      <c r="U213" t="s">
        <v>42</v>
      </c>
      <c r="V213" s="3">
        <f t="shared" si="27"/>
        <v>0.2</v>
      </c>
      <c r="W213">
        <f t="shared" si="28"/>
        <v>27020.48</v>
      </c>
      <c r="X213">
        <f t="shared" si="29"/>
        <v>4135.239999999998</v>
      </c>
      <c r="Y213" s="4">
        <f t="shared" si="30"/>
        <v>0.15304095264036752</v>
      </c>
      <c r="Z213">
        <f t="shared" si="31"/>
        <v>1</v>
      </c>
      <c r="AA213">
        <f t="shared" si="32"/>
        <v>5</v>
      </c>
      <c r="AB213">
        <f t="shared" si="33"/>
        <v>2024</v>
      </c>
      <c r="AC213" t="str">
        <f t="shared" si="34"/>
        <v>Unique</v>
      </c>
      <c r="AD213" t="str">
        <f t="shared" si="35"/>
        <v>Clean</v>
      </c>
    </row>
    <row r="214" spans="1:30" x14ac:dyDescent="0.3">
      <c r="A214" t="s">
        <v>753</v>
      </c>
      <c r="B214" s="2">
        <v>45556</v>
      </c>
      <c r="C214" s="2">
        <v>45556</v>
      </c>
      <c r="D214" t="s">
        <v>754</v>
      </c>
      <c r="E214" t="s">
        <v>71</v>
      </c>
      <c r="F214" t="s">
        <v>46</v>
      </c>
      <c r="G214" t="s">
        <v>47</v>
      </c>
      <c r="H214" t="s">
        <v>48</v>
      </c>
      <c r="I214" t="s">
        <v>49</v>
      </c>
      <c r="J214" t="s">
        <v>83</v>
      </c>
      <c r="K214" t="s">
        <v>180</v>
      </c>
      <c r="L214" t="s">
        <v>755</v>
      </c>
      <c r="M214" t="s">
        <v>53</v>
      </c>
      <c r="N214">
        <v>2</v>
      </c>
      <c r="O214">
        <v>214.5</v>
      </c>
      <c r="P214" s="3">
        <v>0.15</v>
      </c>
      <c r="Q214">
        <v>364.65</v>
      </c>
      <c r="R214">
        <v>280.74</v>
      </c>
      <c r="S214">
        <v>83.91</v>
      </c>
      <c r="T214" t="s">
        <v>41</v>
      </c>
      <c r="U214" t="s">
        <v>42</v>
      </c>
      <c r="V214" s="3">
        <f t="shared" si="27"/>
        <v>0.15</v>
      </c>
      <c r="W214">
        <f t="shared" si="28"/>
        <v>364.65</v>
      </c>
      <c r="X214">
        <f t="shared" si="29"/>
        <v>83.909999999999968</v>
      </c>
      <c r="Y214" s="4">
        <f t="shared" si="30"/>
        <v>0.23011106540518297</v>
      </c>
      <c r="Z214">
        <f t="shared" si="31"/>
        <v>0</v>
      </c>
      <c r="AA214">
        <f t="shared" si="32"/>
        <v>9</v>
      </c>
      <c r="AB214">
        <f t="shared" si="33"/>
        <v>2024</v>
      </c>
      <c r="AC214" t="str">
        <f t="shared" si="34"/>
        <v>Unique</v>
      </c>
      <c r="AD214" t="str">
        <f t="shared" si="35"/>
        <v>Clean</v>
      </c>
    </row>
    <row r="215" spans="1:30" x14ac:dyDescent="0.3">
      <c r="A215" t="s">
        <v>756</v>
      </c>
      <c r="B215" s="2">
        <v>45427</v>
      </c>
      <c r="C215" s="2">
        <v>45433</v>
      </c>
      <c r="D215" t="s">
        <v>757</v>
      </c>
      <c r="E215" t="s">
        <v>56</v>
      </c>
      <c r="F215" t="s">
        <v>46</v>
      </c>
      <c r="G215" t="s">
        <v>47</v>
      </c>
      <c r="H215" t="s">
        <v>154</v>
      </c>
      <c r="I215" t="s">
        <v>155</v>
      </c>
      <c r="J215" t="s">
        <v>83</v>
      </c>
      <c r="K215" t="s">
        <v>84</v>
      </c>
      <c r="L215" t="s">
        <v>758</v>
      </c>
      <c r="M215" t="s">
        <v>40</v>
      </c>
      <c r="N215">
        <v>4</v>
      </c>
      <c r="O215">
        <v>4332.7299999999996</v>
      </c>
      <c r="P215" s="3">
        <v>0.2</v>
      </c>
      <c r="Q215">
        <v>13864.74</v>
      </c>
      <c r="R215">
        <v>11294.06</v>
      </c>
      <c r="S215">
        <v>2570.6799999999998</v>
      </c>
      <c r="T215" t="s">
        <v>41</v>
      </c>
      <c r="U215" t="s">
        <v>42</v>
      </c>
      <c r="V215" s="3">
        <f t="shared" si="27"/>
        <v>0.2</v>
      </c>
      <c r="W215">
        <f t="shared" si="28"/>
        <v>13864.735999999999</v>
      </c>
      <c r="X215">
        <f t="shared" si="29"/>
        <v>2570.6759999999995</v>
      </c>
      <c r="Y215" s="4">
        <f t="shared" si="30"/>
        <v>0.18541110339208763</v>
      </c>
      <c r="Z215">
        <f t="shared" si="31"/>
        <v>6</v>
      </c>
      <c r="AA215">
        <f t="shared" si="32"/>
        <v>5</v>
      </c>
      <c r="AB215">
        <f t="shared" si="33"/>
        <v>2024</v>
      </c>
      <c r="AC215" t="str">
        <f t="shared" si="34"/>
        <v>Unique</v>
      </c>
      <c r="AD215" t="str">
        <f t="shared" si="35"/>
        <v>Clean</v>
      </c>
    </row>
    <row r="216" spans="1:30" x14ac:dyDescent="0.3">
      <c r="A216" t="s">
        <v>759</v>
      </c>
      <c r="B216" s="2">
        <v>45368</v>
      </c>
      <c r="C216" s="2">
        <v>45374</v>
      </c>
      <c r="D216" t="s">
        <v>760</v>
      </c>
      <c r="E216" t="s">
        <v>127</v>
      </c>
      <c r="F216" t="s">
        <v>33</v>
      </c>
      <c r="G216" t="s">
        <v>34</v>
      </c>
      <c r="H216" t="s">
        <v>246</v>
      </c>
      <c r="I216" t="s">
        <v>247</v>
      </c>
      <c r="J216" t="s">
        <v>83</v>
      </c>
      <c r="K216" t="s">
        <v>84</v>
      </c>
      <c r="L216" t="s">
        <v>761</v>
      </c>
      <c r="M216" t="s">
        <v>59</v>
      </c>
      <c r="N216">
        <v>3</v>
      </c>
      <c r="O216">
        <v>248.18</v>
      </c>
      <c r="P216" s="3">
        <v>0.05</v>
      </c>
      <c r="Q216">
        <v>707.31</v>
      </c>
      <c r="R216">
        <v>569</v>
      </c>
      <c r="S216">
        <v>138.31</v>
      </c>
      <c r="T216" t="s">
        <v>41</v>
      </c>
      <c r="U216" t="s">
        <v>42</v>
      </c>
      <c r="V216" s="3">
        <f t="shared" si="27"/>
        <v>0.05</v>
      </c>
      <c r="W216">
        <f t="shared" si="28"/>
        <v>707.31299999999999</v>
      </c>
      <c r="X216">
        <f t="shared" si="29"/>
        <v>138.31299999999999</v>
      </c>
      <c r="Y216" s="4">
        <f t="shared" si="30"/>
        <v>0.19554709159876885</v>
      </c>
      <c r="Z216">
        <f t="shared" si="31"/>
        <v>6</v>
      </c>
      <c r="AA216">
        <f t="shared" si="32"/>
        <v>3</v>
      </c>
      <c r="AB216">
        <f t="shared" si="33"/>
        <v>2024</v>
      </c>
      <c r="AC216" t="str">
        <f t="shared" si="34"/>
        <v>Unique</v>
      </c>
      <c r="AD216" t="str">
        <f t="shared" si="35"/>
        <v>Clean</v>
      </c>
    </row>
    <row r="217" spans="1:30" x14ac:dyDescent="0.3">
      <c r="A217" t="s">
        <v>762</v>
      </c>
      <c r="B217" s="2">
        <v>45352</v>
      </c>
      <c r="C217" s="2">
        <v>45355</v>
      </c>
      <c r="D217" t="s">
        <v>763</v>
      </c>
      <c r="E217" t="s">
        <v>45</v>
      </c>
      <c r="F217" t="s">
        <v>33</v>
      </c>
      <c r="G217" t="s">
        <v>72</v>
      </c>
      <c r="H217" t="s">
        <v>81</v>
      </c>
      <c r="I217" t="s">
        <v>82</v>
      </c>
      <c r="J217" t="s">
        <v>37</v>
      </c>
      <c r="K217" t="s">
        <v>38</v>
      </c>
      <c r="L217" t="s">
        <v>764</v>
      </c>
      <c r="M217" t="s">
        <v>59</v>
      </c>
      <c r="N217">
        <v>8</v>
      </c>
      <c r="O217">
        <v>3202.4</v>
      </c>
      <c r="P217" s="3">
        <v>0.25</v>
      </c>
      <c r="Q217">
        <v>19214.400000000001</v>
      </c>
      <c r="R217">
        <v>10916.01</v>
      </c>
      <c r="S217">
        <v>8298.39</v>
      </c>
      <c r="T217" t="s">
        <v>41</v>
      </c>
      <c r="U217" t="s">
        <v>42</v>
      </c>
      <c r="V217" s="3">
        <f t="shared" si="27"/>
        <v>0.25</v>
      </c>
      <c r="W217">
        <f t="shared" si="28"/>
        <v>19214.400000000001</v>
      </c>
      <c r="X217">
        <f t="shared" si="29"/>
        <v>8298.3900000000012</v>
      </c>
      <c r="Y217" s="4">
        <f t="shared" si="30"/>
        <v>0.43188389957531853</v>
      </c>
      <c r="Z217">
        <f t="shared" si="31"/>
        <v>3</v>
      </c>
      <c r="AA217">
        <f t="shared" si="32"/>
        <v>3</v>
      </c>
      <c r="AB217">
        <f t="shared" si="33"/>
        <v>2024</v>
      </c>
      <c r="AC217" t="str">
        <f t="shared" si="34"/>
        <v>Unique</v>
      </c>
      <c r="AD217" t="str">
        <f t="shared" si="35"/>
        <v>Clean</v>
      </c>
    </row>
    <row r="218" spans="1:30" x14ac:dyDescent="0.3">
      <c r="A218" t="s">
        <v>765</v>
      </c>
      <c r="B218" s="2">
        <v>45757</v>
      </c>
      <c r="C218" s="2">
        <v>45762</v>
      </c>
      <c r="D218" t="s">
        <v>766</v>
      </c>
      <c r="E218" t="s">
        <v>56</v>
      </c>
      <c r="F218" t="s">
        <v>33</v>
      </c>
      <c r="G218" t="s">
        <v>72</v>
      </c>
      <c r="H218" t="s">
        <v>189</v>
      </c>
      <c r="I218" t="s">
        <v>190</v>
      </c>
      <c r="J218" t="s">
        <v>50</v>
      </c>
      <c r="K218" t="s">
        <v>51</v>
      </c>
      <c r="L218" t="s">
        <v>767</v>
      </c>
      <c r="M218" t="s">
        <v>68</v>
      </c>
      <c r="N218">
        <v>8</v>
      </c>
      <c r="O218">
        <v>1839.87</v>
      </c>
      <c r="P218" s="3">
        <v>0.25</v>
      </c>
      <c r="Q218">
        <v>11039.22</v>
      </c>
      <c r="R218">
        <v>7642.91</v>
      </c>
      <c r="S218">
        <v>3396.31</v>
      </c>
      <c r="T218" t="s">
        <v>164</v>
      </c>
      <c r="U218" t="s">
        <v>112</v>
      </c>
      <c r="V218" s="3">
        <f t="shared" si="27"/>
        <v>0.25</v>
      </c>
      <c r="W218">
        <f t="shared" si="28"/>
        <v>11039.22</v>
      </c>
      <c r="X218">
        <f t="shared" si="29"/>
        <v>3396.3099999999995</v>
      </c>
      <c r="Y218" s="4">
        <f t="shared" si="30"/>
        <v>0.30765851210502188</v>
      </c>
      <c r="Z218">
        <f t="shared" si="31"/>
        <v>5</v>
      </c>
      <c r="AA218">
        <f t="shared" si="32"/>
        <v>4</v>
      </c>
      <c r="AB218">
        <f t="shared" si="33"/>
        <v>2025</v>
      </c>
      <c r="AC218" t="str">
        <f t="shared" si="34"/>
        <v>Unique</v>
      </c>
      <c r="AD218" t="str">
        <f t="shared" si="35"/>
        <v>Warning</v>
      </c>
    </row>
    <row r="219" spans="1:30" x14ac:dyDescent="0.3">
      <c r="A219" t="s">
        <v>768</v>
      </c>
      <c r="B219" s="2">
        <v>45748</v>
      </c>
      <c r="C219" s="2">
        <v>45755</v>
      </c>
      <c r="D219" t="s">
        <v>769</v>
      </c>
      <c r="E219" t="s">
        <v>98</v>
      </c>
      <c r="F219" t="s">
        <v>33</v>
      </c>
      <c r="G219" t="s">
        <v>47</v>
      </c>
      <c r="H219" t="s">
        <v>48</v>
      </c>
      <c r="I219" t="s">
        <v>49</v>
      </c>
      <c r="J219" t="s">
        <v>50</v>
      </c>
      <c r="K219" t="s">
        <v>167</v>
      </c>
      <c r="L219" t="s">
        <v>770</v>
      </c>
      <c r="M219" t="s">
        <v>40</v>
      </c>
      <c r="N219">
        <v>5</v>
      </c>
      <c r="O219">
        <v>1021.28</v>
      </c>
      <c r="P219" s="3">
        <v>0.1</v>
      </c>
      <c r="Q219">
        <v>4595.76</v>
      </c>
      <c r="R219">
        <v>3396.8</v>
      </c>
      <c r="S219">
        <v>1198.96</v>
      </c>
      <c r="T219" t="s">
        <v>111</v>
      </c>
      <c r="U219" t="s">
        <v>77</v>
      </c>
      <c r="V219" s="3">
        <f t="shared" si="27"/>
        <v>0.1</v>
      </c>
      <c r="W219">
        <f t="shared" si="28"/>
        <v>4595.76</v>
      </c>
      <c r="X219">
        <f t="shared" si="29"/>
        <v>1198.96</v>
      </c>
      <c r="Y219" s="4">
        <f t="shared" si="30"/>
        <v>0.26088394520166414</v>
      </c>
      <c r="Z219">
        <f t="shared" si="31"/>
        <v>7</v>
      </c>
      <c r="AA219">
        <f t="shared" si="32"/>
        <v>4</v>
      </c>
      <c r="AB219">
        <f t="shared" si="33"/>
        <v>2025</v>
      </c>
      <c r="AC219" t="str">
        <f t="shared" si="34"/>
        <v>Unique</v>
      </c>
      <c r="AD219" t="str">
        <f t="shared" si="35"/>
        <v>Warning</v>
      </c>
    </row>
    <row r="220" spans="1:30" x14ac:dyDescent="0.3">
      <c r="A220" t="s">
        <v>771</v>
      </c>
      <c r="B220" s="2">
        <v>45714</v>
      </c>
      <c r="C220" s="2">
        <v>45715</v>
      </c>
      <c r="D220" t="s">
        <v>772</v>
      </c>
      <c r="E220" t="s">
        <v>123</v>
      </c>
      <c r="F220" t="s">
        <v>99</v>
      </c>
      <c r="G220" t="s">
        <v>72</v>
      </c>
      <c r="H220" t="s">
        <v>189</v>
      </c>
      <c r="I220" t="s">
        <v>190</v>
      </c>
      <c r="J220" t="s">
        <v>50</v>
      </c>
      <c r="K220" t="s">
        <v>167</v>
      </c>
      <c r="L220" t="s">
        <v>773</v>
      </c>
      <c r="M220" t="s">
        <v>68</v>
      </c>
      <c r="N220">
        <v>5</v>
      </c>
      <c r="O220">
        <v>258.27999999999997</v>
      </c>
      <c r="P220" s="3">
        <v>0</v>
      </c>
      <c r="Q220">
        <v>1291.4000000000001</v>
      </c>
      <c r="R220">
        <v>756.93</v>
      </c>
      <c r="S220">
        <v>534.47</v>
      </c>
      <c r="T220" t="s">
        <v>41</v>
      </c>
      <c r="U220" t="s">
        <v>42</v>
      </c>
      <c r="V220" s="3">
        <f t="shared" si="27"/>
        <v>0</v>
      </c>
      <c r="W220">
        <f t="shared" si="28"/>
        <v>1291.3999999999999</v>
      </c>
      <c r="X220">
        <f t="shared" si="29"/>
        <v>534.46999999999991</v>
      </c>
      <c r="Y220" s="4">
        <f t="shared" si="30"/>
        <v>0.41386866966083319</v>
      </c>
      <c r="Z220">
        <f t="shared" si="31"/>
        <v>1</v>
      </c>
      <c r="AA220">
        <f t="shared" si="32"/>
        <v>2</v>
      </c>
      <c r="AB220">
        <f t="shared" si="33"/>
        <v>2025</v>
      </c>
      <c r="AC220" t="str">
        <f t="shared" si="34"/>
        <v>Unique</v>
      </c>
      <c r="AD220" t="str">
        <f t="shared" si="35"/>
        <v>Clean</v>
      </c>
    </row>
    <row r="221" spans="1:30" x14ac:dyDescent="0.3">
      <c r="A221" t="s">
        <v>774</v>
      </c>
      <c r="B221" s="2">
        <v>45461</v>
      </c>
      <c r="C221" s="2">
        <v>45462</v>
      </c>
      <c r="D221" t="s">
        <v>775</v>
      </c>
      <c r="E221" t="s">
        <v>127</v>
      </c>
      <c r="F221" t="s">
        <v>33</v>
      </c>
      <c r="G221" t="s">
        <v>47</v>
      </c>
      <c r="H221" t="s">
        <v>154</v>
      </c>
      <c r="I221" t="s">
        <v>155</v>
      </c>
      <c r="J221" t="s">
        <v>83</v>
      </c>
      <c r="K221" t="s">
        <v>284</v>
      </c>
      <c r="L221" t="s">
        <v>776</v>
      </c>
      <c r="M221" t="s">
        <v>59</v>
      </c>
      <c r="N221">
        <v>2</v>
      </c>
      <c r="O221">
        <v>121.49</v>
      </c>
      <c r="P221" s="3" t="s">
        <v>777</v>
      </c>
      <c r="Q221">
        <v>242.98</v>
      </c>
      <c r="R221">
        <v>161.41999999999999</v>
      </c>
      <c r="S221">
        <v>81.56</v>
      </c>
      <c r="T221" t="s">
        <v>41</v>
      </c>
      <c r="U221" t="s">
        <v>42</v>
      </c>
      <c r="V221" s="3">
        <f t="shared" si="27"/>
        <v>0.85</v>
      </c>
      <c r="W221">
        <f t="shared" si="28"/>
        <v>36.447000000000003</v>
      </c>
      <c r="X221">
        <f t="shared" si="29"/>
        <v>-124.97299999999998</v>
      </c>
      <c r="Y221" s="4">
        <f t="shared" si="30"/>
        <v>-3.4288967541910162</v>
      </c>
      <c r="Z221">
        <f t="shared" si="31"/>
        <v>1</v>
      </c>
      <c r="AA221">
        <f t="shared" si="32"/>
        <v>6</v>
      </c>
      <c r="AB221">
        <f t="shared" si="33"/>
        <v>2024</v>
      </c>
      <c r="AC221" t="str">
        <f t="shared" si="34"/>
        <v>Unique</v>
      </c>
      <c r="AD221" t="str">
        <f t="shared" si="35"/>
        <v>Invalid</v>
      </c>
    </row>
    <row r="222" spans="1:30" x14ac:dyDescent="0.3">
      <c r="A222" t="s">
        <v>778</v>
      </c>
      <c r="B222" s="2">
        <v>45538</v>
      </c>
      <c r="C222" s="2">
        <v>45538</v>
      </c>
      <c r="D222" t="s">
        <v>779</v>
      </c>
      <c r="E222" t="s">
        <v>141</v>
      </c>
      <c r="F222" t="s">
        <v>33</v>
      </c>
      <c r="G222" t="s">
        <v>63</v>
      </c>
      <c r="H222" t="s">
        <v>194</v>
      </c>
      <c r="I222" t="s">
        <v>195</v>
      </c>
      <c r="J222" t="s">
        <v>37</v>
      </c>
      <c r="K222" t="s">
        <v>133</v>
      </c>
      <c r="L222" t="s">
        <v>780</v>
      </c>
      <c r="M222" t="s">
        <v>59</v>
      </c>
      <c r="N222">
        <v>4</v>
      </c>
      <c r="O222">
        <v>2810.17</v>
      </c>
      <c r="P222" s="3">
        <v>0.15</v>
      </c>
      <c r="Q222">
        <v>9554.58</v>
      </c>
      <c r="R222">
        <v>6068.47</v>
      </c>
      <c r="S222">
        <v>3486.11</v>
      </c>
      <c r="T222" t="s">
        <v>111</v>
      </c>
      <c r="U222" t="s">
        <v>77</v>
      </c>
      <c r="V222" s="3">
        <f t="shared" si="27"/>
        <v>0.15</v>
      </c>
      <c r="W222">
        <f t="shared" si="28"/>
        <v>9554.5779999999995</v>
      </c>
      <c r="X222">
        <f t="shared" si="29"/>
        <v>3486.1079999999993</v>
      </c>
      <c r="Y222" s="4">
        <f t="shared" si="30"/>
        <v>0.36486258210462036</v>
      </c>
      <c r="Z222">
        <f t="shared" si="31"/>
        <v>0</v>
      </c>
      <c r="AA222">
        <f t="shared" si="32"/>
        <v>9</v>
      </c>
      <c r="AB222">
        <f t="shared" si="33"/>
        <v>2024</v>
      </c>
      <c r="AC222" t="str">
        <f t="shared" si="34"/>
        <v>Unique</v>
      </c>
      <c r="AD222" t="str">
        <f t="shared" si="35"/>
        <v>Warning</v>
      </c>
    </row>
    <row r="223" spans="1:30" x14ac:dyDescent="0.3">
      <c r="A223" t="s">
        <v>781</v>
      </c>
      <c r="B223" s="2">
        <v>45669</v>
      </c>
      <c r="C223" s="2">
        <v>45672</v>
      </c>
      <c r="D223" t="s">
        <v>782</v>
      </c>
      <c r="E223" t="s">
        <v>45</v>
      </c>
      <c r="F223" t="s">
        <v>99</v>
      </c>
      <c r="G223" t="s">
        <v>63</v>
      </c>
      <c r="H223" t="s">
        <v>184</v>
      </c>
      <c r="I223" t="s">
        <v>185</v>
      </c>
      <c r="J223" t="s">
        <v>50</v>
      </c>
      <c r="K223" t="s">
        <v>75</v>
      </c>
      <c r="L223" t="s">
        <v>783</v>
      </c>
      <c r="M223" t="s">
        <v>53</v>
      </c>
      <c r="N223">
        <v>4</v>
      </c>
      <c r="O223">
        <v>1531.53</v>
      </c>
      <c r="P223" s="3">
        <v>0.2</v>
      </c>
      <c r="Q223">
        <v>4900.8999999999996</v>
      </c>
      <c r="R223">
        <v>3552.69</v>
      </c>
      <c r="S223">
        <v>1348.21</v>
      </c>
      <c r="T223" t="s">
        <v>41</v>
      </c>
      <c r="U223" t="s">
        <v>42</v>
      </c>
      <c r="V223" s="3">
        <f t="shared" si="27"/>
        <v>0.2</v>
      </c>
      <c r="W223">
        <f t="shared" si="28"/>
        <v>4900.8959999999997</v>
      </c>
      <c r="X223">
        <f t="shared" si="29"/>
        <v>1348.2059999999997</v>
      </c>
      <c r="Y223" s="4">
        <f t="shared" si="30"/>
        <v>0.27509377877024932</v>
      </c>
      <c r="Z223">
        <f t="shared" si="31"/>
        <v>3</v>
      </c>
      <c r="AA223">
        <f t="shared" si="32"/>
        <v>1</v>
      </c>
      <c r="AB223">
        <f t="shared" si="33"/>
        <v>2025</v>
      </c>
      <c r="AC223" t="str">
        <f t="shared" si="34"/>
        <v>Unique</v>
      </c>
      <c r="AD223" t="str">
        <f t="shared" si="35"/>
        <v>Clean</v>
      </c>
    </row>
    <row r="224" spans="1:30" x14ac:dyDescent="0.3">
      <c r="A224" t="s">
        <v>784</v>
      </c>
      <c r="B224" s="2">
        <v>45776</v>
      </c>
      <c r="C224" s="2">
        <v>45779</v>
      </c>
      <c r="D224" t="s">
        <v>785</v>
      </c>
      <c r="E224" t="s">
        <v>80</v>
      </c>
      <c r="F224" t="s">
        <v>46</v>
      </c>
      <c r="G224" t="s">
        <v>72</v>
      </c>
      <c r="H224" t="s">
        <v>199</v>
      </c>
      <c r="I224" t="s">
        <v>200</v>
      </c>
      <c r="J224" t="s">
        <v>37</v>
      </c>
      <c r="K224" t="s">
        <v>133</v>
      </c>
      <c r="L224" t="s">
        <v>786</v>
      </c>
      <c r="M224" t="s">
        <v>59</v>
      </c>
      <c r="N224">
        <v>6</v>
      </c>
      <c r="O224">
        <v>4308.09</v>
      </c>
      <c r="P224" s="3">
        <v>0</v>
      </c>
      <c r="Q224">
        <v>25848.54</v>
      </c>
      <c r="R224">
        <v>17729.09</v>
      </c>
      <c r="S224">
        <v>8119.45</v>
      </c>
      <c r="T224" t="s">
        <v>41</v>
      </c>
      <c r="U224" t="s">
        <v>42</v>
      </c>
      <c r="V224" s="3">
        <f t="shared" si="27"/>
        <v>0</v>
      </c>
      <c r="W224">
        <f t="shared" si="28"/>
        <v>25848.54</v>
      </c>
      <c r="X224">
        <f t="shared" si="29"/>
        <v>8119.4500000000007</v>
      </c>
      <c r="Y224" s="4">
        <f t="shared" si="30"/>
        <v>0.31411638723115504</v>
      </c>
      <c r="Z224">
        <f t="shared" si="31"/>
        <v>3</v>
      </c>
      <c r="AA224">
        <f t="shared" si="32"/>
        <v>4</v>
      </c>
      <c r="AB224">
        <f t="shared" si="33"/>
        <v>2025</v>
      </c>
      <c r="AC224" t="str">
        <f t="shared" si="34"/>
        <v>Unique</v>
      </c>
      <c r="AD224" t="str">
        <f t="shared" si="35"/>
        <v>Clean</v>
      </c>
    </row>
    <row r="225" spans="1:30" x14ac:dyDescent="0.3">
      <c r="A225" t="s">
        <v>787</v>
      </c>
      <c r="B225" s="2">
        <v>45707</v>
      </c>
      <c r="C225" s="2">
        <v>45714</v>
      </c>
      <c r="D225" t="s">
        <v>788</v>
      </c>
      <c r="E225" t="s">
        <v>45</v>
      </c>
      <c r="F225" t="s">
        <v>99</v>
      </c>
      <c r="G225" t="s">
        <v>72</v>
      </c>
      <c r="H225" t="s">
        <v>73</v>
      </c>
      <c r="I225" t="s">
        <v>74</v>
      </c>
      <c r="J225" t="s">
        <v>50</v>
      </c>
      <c r="K225" t="s">
        <v>66</v>
      </c>
      <c r="L225" t="s">
        <v>789</v>
      </c>
      <c r="M225" t="s">
        <v>59</v>
      </c>
      <c r="N225">
        <v>3</v>
      </c>
      <c r="O225">
        <v>490.3</v>
      </c>
      <c r="P225" s="3">
        <v>0.2</v>
      </c>
      <c r="Q225">
        <v>1176.72</v>
      </c>
      <c r="R225">
        <v>654.33000000000004</v>
      </c>
      <c r="S225">
        <v>522.39</v>
      </c>
      <c r="T225" t="s">
        <v>120</v>
      </c>
      <c r="U225" t="s">
        <v>112</v>
      </c>
      <c r="V225" s="3">
        <f t="shared" si="27"/>
        <v>0.2</v>
      </c>
      <c r="W225">
        <f t="shared" si="28"/>
        <v>1176.72</v>
      </c>
      <c r="X225">
        <f t="shared" si="29"/>
        <v>522.39</v>
      </c>
      <c r="Y225" s="4">
        <f t="shared" si="30"/>
        <v>0.44393738527432181</v>
      </c>
      <c r="Z225">
        <f t="shared" si="31"/>
        <v>7</v>
      </c>
      <c r="AA225">
        <f t="shared" si="32"/>
        <v>2</v>
      </c>
      <c r="AB225">
        <f t="shared" si="33"/>
        <v>2025</v>
      </c>
      <c r="AC225" t="str">
        <f t="shared" si="34"/>
        <v>Unique</v>
      </c>
      <c r="AD225" t="str">
        <f t="shared" si="35"/>
        <v>Clean</v>
      </c>
    </row>
    <row r="226" spans="1:30" x14ac:dyDescent="0.3">
      <c r="A226" t="s">
        <v>790</v>
      </c>
      <c r="B226" s="2">
        <v>45932</v>
      </c>
      <c r="C226" s="2">
        <v>45938</v>
      </c>
      <c r="D226" t="s">
        <v>791</v>
      </c>
      <c r="E226" t="s">
        <v>56</v>
      </c>
      <c r="F226" t="s">
        <v>46</v>
      </c>
      <c r="G226" t="s">
        <v>34</v>
      </c>
      <c r="H226" t="s">
        <v>131</v>
      </c>
      <c r="I226" t="s">
        <v>132</v>
      </c>
      <c r="J226" t="s">
        <v>50</v>
      </c>
      <c r="K226" t="s">
        <v>66</v>
      </c>
      <c r="L226" t="s">
        <v>792</v>
      </c>
      <c r="M226" t="s">
        <v>68</v>
      </c>
      <c r="N226">
        <v>4</v>
      </c>
      <c r="O226">
        <v>3944.64</v>
      </c>
      <c r="P226" s="3">
        <v>0.25</v>
      </c>
      <c r="Q226">
        <v>11833.92</v>
      </c>
      <c r="R226">
        <v>6682.92</v>
      </c>
      <c r="S226">
        <v>5151</v>
      </c>
      <c r="T226" t="s">
        <v>41</v>
      </c>
      <c r="U226" t="s">
        <v>77</v>
      </c>
      <c r="V226" s="3">
        <f t="shared" si="27"/>
        <v>0.25</v>
      </c>
      <c r="W226">
        <f t="shared" si="28"/>
        <v>11833.92</v>
      </c>
      <c r="X226">
        <f t="shared" si="29"/>
        <v>5151</v>
      </c>
      <c r="Y226" s="4">
        <f t="shared" si="30"/>
        <v>0.43527419485681834</v>
      </c>
      <c r="Z226">
        <f t="shared" si="31"/>
        <v>6</v>
      </c>
      <c r="AA226">
        <f t="shared" si="32"/>
        <v>10</v>
      </c>
      <c r="AB226">
        <f t="shared" si="33"/>
        <v>2025</v>
      </c>
      <c r="AC226" t="str">
        <f t="shared" si="34"/>
        <v>Conflict - Review</v>
      </c>
      <c r="AD226" t="str">
        <f t="shared" si="35"/>
        <v>Invalid</v>
      </c>
    </row>
    <row r="227" spans="1:30" x14ac:dyDescent="0.3">
      <c r="A227" t="s">
        <v>793</v>
      </c>
      <c r="B227" s="2">
        <v>45537</v>
      </c>
      <c r="C227" s="2">
        <v>45545</v>
      </c>
      <c r="D227" t="s">
        <v>794</v>
      </c>
      <c r="E227" t="s">
        <v>45</v>
      </c>
      <c r="F227" t="s">
        <v>99</v>
      </c>
      <c r="G227" t="s">
        <v>72</v>
      </c>
      <c r="H227" t="s">
        <v>199</v>
      </c>
      <c r="I227" t="s">
        <v>200</v>
      </c>
      <c r="J227" t="s">
        <v>83</v>
      </c>
      <c r="K227" t="s">
        <v>180</v>
      </c>
      <c r="L227" t="s">
        <v>795</v>
      </c>
      <c r="M227" t="s">
        <v>68</v>
      </c>
      <c r="N227">
        <v>6</v>
      </c>
      <c r="O227">
        <v>1032.47</v>
      </c>
      <c r="P227" s="3">
        <v>0.15</v>
      </c>
      <c r="Q227">
        <v>5265.6</v>
      </c>
      <c r="R227">
        <v>4293.1099999999997</v>
      </c>
      <c r="S227">
        <v>787.57</v>
      </c>
      <c r="T227" t="s">
        <v>41</v>
      </c>
      <c r="U227" t="s">
        <v>42</v>
      </c>
      <c r="V227" s="3">
        <f t="shared" si="27"/>
        <v>0.15</v>
      </c>
      <c r="W227">
        <f t="shared" si="28"/>
        <v>5265.5969999999998</v>
      </c>
      <c r="X227">
        <f t="shared" si="29"/>
        <v>972.48700000000008</v>
      </c>
      <c r="Y227" s="4">
        <f t="shared" si="30"/>
        <v>0.18468694053114967</v>
      </c>
      <c r="Z227">
        <f t="shared" si="31"/>
        <v>8</v>
      </c>
      <c r="AA227">
        <f t="shared" si="32"/>
        <v>9</v>
      </c>
      <c r="AB227">
        <f t="shared" si="33"/>
        <v>2024</v>
      </c>
      <c r="AC227" t="str">
        <f t="shared" si="34"/>
        <v>Unique</v>
      </c>
      <c r="AD227" t="str">
        <f t="shared" si="35"/>
        <v>Clean</v>
      </c>
    </row>
    <row r="228" spans="1:30" x14ac:dyDescent="0.3">
      <c r="A228" t="s">
        <v>796</v>
      </c>
      <c r="B228" s="2">
        <v>45757</v>
      </c>
      <c r="C228" s="2">
        <v>45762</v>
      </c>
      <c r="D228" t="s">
        <v>797</v>
      </c>
      <c r="E228" t="s">
        <v>171</v>
      </c>
      <c r="F228" t="s">
        <v>104</v>
      </c>
      <c r="G228" t="s">
        <v>214</v>
      </c>
      <c r="H228" t="s">
        <v>194</v>
      </c>
      <c r="I228" t="s">
        <v>195</v>
      </c>
      <c r="J228" t="s">
        <v>83</v>
      </c>
      <c r="K228" t="s">
        <v>89</v>
      </c>
      <c r="L228" t="s">
        <v>798</v>
      </c>
      <c r="M228" t="s">
        <v>53</v>
      </c>
      <c r="N228">
        <v>1</v>
      </c>
      <c r="O228">
        <v>2208.27</v>
      </c>
      <c r="P228" s="3">
        <v>0.1</v>
      </c>
      <c r="Q228">
        <v>1987.44</v>
      </c>
      <c r="R228">
        <v>1110.23</v>
      </c>
      <c r="S228">
        <v>877.21</v>
      </c>
      <c r="T228" t="s">
        <v>41</v>
      </c>
      <c r="U228" t="s">
        <v>42</v>
      </c>
      <c r="V228" s="3">
        <f t="shared" si="27"/>
        <v>0.1</v>
      </c>
      <c r="W228">
        <f t="shared" si="28"/>
        <v>1987.443</v>
      </c>
      <c r="X228">
        <f t="shared" si="29"/>
        <v>877.21299999999997</v>
      </c>
      <c r="Y228" s="4">
        <f t="shared" si="30"/>
        <v>0.44137768982556985</v>
      </c>
      <c r="Z228">
        <f t="shared" si="31"/>
        <v>5</v>
      </c>
      <c r="AA228">
        <f t="shared" si="32"/>
        <v>4</v>
      </c>
      <c r="AB228">
        <f t="shared" si="33"/>
        <v>2025</v>
      </c>
      <c r="AC228" t="str">
        <f t="shared" si="34"/>
        <v>Unique</v>
      </c>
      <c r="AD228" t="str">
        <f t="shared" si="35"/>
        <v>Warning</v>
      </c>
    </row>
    <row r="229" spans="1:30" x14ac:dyDescent="0.3">
      <c r="A229" t="s">
        <v>799</v>
      </c>
      <c r="B229" s="2">
        <v>45478</v>
      </c>
      <c r="C229" s="2">
        <v>45485</v>
      </c>
      <c r="D229" t="s">
        <v>800</v>
      </c>
      <c r="E229" t="s">
        <v>71</v>
      </c>
      <c r="F229" t="s">
        <v>46</v>
      </c>
      <c r="G229" t="s">
        <v>72</v>
      </c>
      <c r="H229" t="s">
        <v>199</v>
      </c>
      <c r="I229" t="s">
        <v>200</v>
      </c>
      <c r="J229" t="s">
        <v>37</v>
      </c>
      <c r="K229" t="s">
        <v>162</v>
      </c>
      <c r="L229" t="s">
        <v>801</v>
      </c>
      <c r="M229" t="s">
        <v>59</v>
      </c>
      <c r="N229">
        <v>3</v>
      </c>
      <c r="O229">
        <v>577.75</v>
      </c>
      <c r="P229" s="3">
        <v>0.15</v>
      </c>
      <c r="Q229">
        <v>1473.26</v>
      </c>
      <c r="R229">
        <v>899.86</v>
      </c>
      <c r="S229">
        <v>573.4</v>
      </c>
      <c r="T229" t="s">
        <v>41</v>
      </c>
      <c r="U229" t="s">
        <v>42</v>
      </c>
      <c r="V229" s="3">
        <f t="shared" si="27"/>
        <v>0.15</v>
      </c>
      <c r="W229">
        <f t="shared" si="28"/>
        <v>1473.2625</v>
      </c>
      <c r="X229">
        <f t="shared" si="29"/>
        <v>573.40250000000003</v>
      </c>
      <c r="Y229" s="4">
        <f t="shared" si="30"/>
        <v>0.38920592901808065</v>
      </c>
      <c r="Z229">
        <f t="shared" si="31"/>
        <v>7</v>
      </c>
      <c r="AA229">
        <f t="shared" si="32"/>
        <v>7</v>
      </c>
      <c r="AB229">
        <f t="shared" si="33"/>
        <v>2024</v>
      </c>
      <c r="AC229" t="str">
        <f t="shared" si="34"/>
        <v>Unique</v>
      </c>
      <c r="AD229" t="str">
        <f t="shared" si="35"/>
        <v>Clean</v>
      </c>
    </row>
    <row r="230" spans="1:30" x14ac:dyDescent="0.3">
      <c r="A230" t="s">
        <v>802</v>
      </c>
      <c r="B230" s="2">
        <v>45406</v>
      </c>
      <c r="C230" s="2">
        <v>45410</v>
      </c>
      <c r="D230" t="s">
        <v>803</v>
      </c>
      <c r="E230" t="s">
        <v>32</v>
      </c>
      <c r="F230" t="s">
        <v>46</v>
      </c>
      <c r="G230" t="s">
        <v>63</v>
      </c>
      <c r="H230" t="s">
        <v>64</v>
      </c>
      <c r="I230" t="s">
        <v>65</v>
      </c>
      <c r="J230" t="s">
        <v>37</v>
      </c>
      <c r="K230" t="s">
        <v>100</v>
      </c>
      <c r="L230" t="s">
        <v>804</v>
      </c>
      <c r="M230" t="s">
        <v>40</v>
      </c>
      <c r="N230">
        <v>1</v>
      </c>
      <c r="O230">
        <v>3194.37</v>
      </c>
      <c r="P230" s="3">
        <v>0.15</v>
      </c>
      <c r="Q230">
        <v>2715.21</v>
      </c>
      <c r="R230">
        <v>1551.55</v>
      </c>
      <c r="S230">
        <v>1163.6600000000001</v>
      </c>
      <c r="T230" t="s">
        <v>41</v>
      </c>
      <c r="U230" t="s">
        <v>42</v>
      </c>
      <c r="V230" s="3">
        <f t="shared" si="27"/>
        <v>0.15</v>
      </c>
      <c r="W230">
        <f t="shared" si="28"/>
        <v>2715.2145</v>
      </c>
      <c r="X230">
        <f t="shared" si="29"/>
        <v>1163.6645000000001</v>
      </c>
      <c r="Y230" s="4">
        <f t="shared" si="30"/>
        <v>0.42857184948003191</v>
      </c>
      <c r="Z230">
        <f t="shared" si="31"/>
        <v>4</v>
      </c>
      <c r="AA230">
        <f t="shared" si="32"/>
        <v>4</v>
      </c>
      <c r="AB230">
        <f t="shared" si="33"/>
        <v>2024</v>
      </c>
      <c r="AC230" t="str">
        <f t="shared" si="34"/>
        <v>Unique</v>
      </c>
      <c r="AD230" t="str">
        <f t="shared" si="35"/>
        <v>Clean</v>
      </c>
    </row>
    <row r="231" spans="1:30" x14ac:dyDescent="0.3">
      <c r="A231" t="s">
        <v>805</v>
      </c>
      <c r="B231" s="2">
        <v>45836</v>
      </c>
      <c r="C231" s="2">
        <v>45842</v>
      </c>
      <c r="D231" t="s">
        <v>806</v>
      </c>
      <c r="E231" t="s">
        <v>150</v>
      </c>
      <c r="F231" t="s">
        <v>33</v>
      </c>
      <c r="G231" t="s">
        <v>63</v>
      </c>
      <c r="H231" t="s">
        <v>64</v>
      </c>
      <c r="I231" t="s">
        <v>65</v>
      </c>
      <c r="J231" t="s">
        <v>50</v>
      </c>
      <c r="K231" t="s">
        <v>167</v>
      </c>
      <c r="L231" t="s">
        <v>807</v>
      </c>
      <c r="M231" t="s">
        <v>59</v>
      </c>
      <c r="N231">
        <v>3</v>
      </c>
      <c r="O231">
        <v>2886.23</v>
      </c>
      <c r="P231" s="3">
        <v>0</v>
      </c>
      <c r="Q231">
        <v>8658.69</v>
      </c>
      <c r="R231">
        <v>5535.94</v>
      </c>
      <c r="S231">
        <v>3122.75</v>
      </c>
      <c r="T231" t="s">
        <v>111</v>
      </c>
      <c r="U231" t="s">
        <v>112</v>
      </c>
      <c r="V231" s="3">
        <f t="shared" si="27"/>
        <v>0</v>
      </c>
      <c r="W231">
        <f t="shared" si="28"/>
        <v>8658.69</v>
      </c>
      <c r="X231">
        <f t="shared" si="29"/>
        <v>3122.7500000000009</v>
      </c>
      <c r="Y231" s="4">
        <f t="shared" si="30"/>
        <v>0.36064924370776652</v>
      </c>
      <c r="Z231">
        <f t="shared" si="31"/>
        <v>6</v>
      </c>
      <c r="AA231">
        <f t="shared" si="32"/>
        <v>6</v>
      </c>
      <c r="AB231">
        <f t="shared" si="33"/>
        <v>2025</v>
      </c>
      <c r="AC231" t="str">
        <f t="shared" si="34"/>
        <v>Unique</v>
      </c>
      <c r="AD231" t="str">
        <f t="shared" si="35"/>
        <v>Clean</v>
      </c>
    </row>
    <row r="232" spans="1:30" x14ac:dyDescent="0.3">
      <c r="A232" t="s">
        <v>808</v>
      </c>
      <c r="B232" s="2">
        <v>45440</v>
      </c>
      <c r="C232" s="2">
        <v>45446</v>
      </c>
      <c r="D232" t="s">
        <v>809</v>
      </c>
      <c r="E232" t="s">
        <v>88</v>
      </c>
      <c r="F232" t="s">
        <v>46</v>
      </c>
      <c r="G232" t="s">
        <v>34</v>
      </c>
      <c r="H232" t="s">
        <v>35</v>
      </c>
      <c r="I232" t="s">
        <v>36</v>
      </c>
      <c r="J232" t="s">
        <v>37</v>
      </c>
      <c r="K232" t="s">
        <v>38</v>
      </c>
      <c r="L232" t="s">
        <v>810</v>
      </c>
      <c r="M232" t="s">
        <v>68</v>
      </c>
      <c r="N232">
        <v>8</v>
      </c>
      <c r="O232">
        <v>1540.33</v>
      </c>
      <c r="P232" s="3">
        <v>0.1</v>
      </c>
      <c r="Q232">
        <v>11090.38</v>
      </c>
      <c r="R232">
        <v>8840.9500000000007</v>
      </c>
      <c r="S232">
        <v>2249.4299999999998</v>
      </c>
      <c r="T232" t="s">
        <v>41</v>
      </c>
      <c r="U232" t="s">
        <v>42</v>
      </c>
      <c r="V232" s="3">
        <f t="shared" si="27"/>
        <v>0.1</v>
      </c>
      <c r="W232">
        <f t="shared" si="28"/>
        <v>11090.376</v>
      </c>
      <c r="X232">
        <f t="shared" si="29"/>
        <v>2249.4259999999995</v>
      </c>
      <c r="Y232" s="4">
        <f t="shared" si="30"/>
        <v>0.20282684734944958</v>
      </c>
      <c r="Z232">
        <f t="shared" si="31"/>
        <v>6</v>
      </c>
      <c r="AA232">
        <f t="shared" si="32"/>
        <v>5</v>
      </c>
      <c r="AB232">
        <f t="shared" si="33"/>
        <v>2024</v>
      </c>
      <c r="AC232" t="str">
        <f t="shared" si="34"/>
        <v>Unique</v>
      </c>
      <c r="AD232" t="str">
        <f t="shared" si="35"/>
        <v>Clean</v>
      </c>
    </row>
    <row r="233" spans="1:30" x14ac:dyDescent="0.3">
      <c r="A233" t="s">
        <v>811</v>
      </c>
      <c r="B233" s="2">
        <v>45414</v>
      </c>
      <c r="C233" s="2">
        <v>45414</v>
      </c>
      <c r="D233" t="s">
        <v>812</v>
      </c>
      <c r="E233" t="s">
        <v>71</v>
      </c>
      <c r="F233" t="s">
        <v>99</v>
      </c>
      <c r="G233" t="s">
        <v>34</v>
      </c>
      <c r="H233" t="s">
        <v>35</v>
      </c>
      <c r="I233" t="s">
        <v>36</v>
      </c>
      <c r="J233" t="s">
        <v>37</v>
      </c>
      <c r="K233" t="s">
        <v>100</v>
      </c>
      <c r="L233" t="s">
        <v>813</v>
      </c>
      <c r="M233" t="s">
        <v>59</v>
      </c>
      <c r="N233">
        <v>7</v>
      </c>
      <c r="O233">
        <v>2183.38</v>
      </c>
      <c r="P233" s="3">
        <v>0.25</v>
      </c>
      <c r="Q233">
        <v>11462.74</v>
      </c>
      <c r="R233">
        <v>7163.54</v>
      </c>
      <c r="S233">
        <v>4299.2</v>
      </c>
      <c r="T233" t="s">
        <v>111</v>
      </c>
      <c r="U233" t="s">
        <v>77</v>
      </c>
      <c r="V233" s="3">
        <f t="shared" si="27"/>
        <v>0.25</v>
      </c>
      <c r="W233">
        <f t="shared" si="28"/>
        <v>11462.744999999999</v>
      </c>
      <c r="X233">
        <f t="shared" si="29"/>
        <v>4299.204999999999</v>
      </c>
      <c r="Y233" s="4">
        <f t="shared" si="30"/>
        <v>0.37505894094302888</v>
      </c>
      <c r="Z233">
        <f t="shared" si="31"/>
        <v>0</v>
      </c>
      <c r="AA233">
        <f t="shared" si="32"/>
        <v>5</v>
      </c>
      <c r="AB233">
        <f t="shared" si="33"/>
        <v>2024</v>
      </c>
      <c r="AC233" t="str">
        <f t="shared" si="34"/>
        <v>Unique</v>
      </c>
      <c r="AD233" t="str">
        <f t="shared" si="35"/>
        <v>Warning</v>
      </c>
    </row>
    <row r="234" spans="1:30" x14ac:dyDescent="0.3">
      <c r="A234" t="s">
        <v>814</v>
      </c>
      <c r="B234" s="2">
        <v>45812</v>
      </c>
      <c r="C234" s="2">
        <v>45818</v>
      </c>
      <c r="D234" t="s">
        <v>815</v>
      </c>
      <c r="E234" t="s">
        <v>127</v>
      </c>
      <c r="F234" t="s">
        <v>33</v>
      </c>
      <c r="G234" t="s">
        <v>63</v>
      </c>
      <c r="H234" t="s">
        <v>93</v>
      </c>
      <c r="I234" t="s">
        <v>94</v>
      </c>
      <c r="J234" t="s">
        <v>83</v>
      </c>
      <c r="K234" t="s">
        <v>180</v>
      </c>
      <c r="L234" t="s">
        <v>816</v>
      </c>
      <c r="M234" t="s">
        <v>68</v>
      </c>
      <c r="N234">
        <v>4</v>
      </c>
      <c r="O234">
        <v>223.37</v>
      </c>
      <c r="P234" s="3">
        <v>0.25</v>
      </c>
      <c r="Q234">
        <v>670.11</v>
      </c>
      <c r="R234">
        <v>559.57000000000005</v>
      </c>
      <c r="S234">
        <v>110.54</v>
      </c>
      <c r="T234" t="s">
        <v>41</v>
      </c>
      <c r="U234" t="s">
        <v>42</v>
      </c>
      <c r="V234" s="3">
        <f t="shared" si="27"/>
        <v>0.25</v>
      </c>
      <c r="W234">
        <f t="shared" si="28"/>
        <v>670.11</v>
      </c>
      <c r="X234">
        <f t="shared" si="29"/>
        <v>110.53999999999996</v>
      </c>
      <c r="Y234" s="4">
        <f t="shared" si="30"/>
        <v>0.16495799197146732</v>
      </c>
      <c r="Z234">
        <f t="shared" si="31"/>
        <v>6</v>
      </c>
      <c r="AA234">
        <f t="shared" si="32"/>
        <v>6</v>
      </c>
      <c r="AB234">
        <f t="shared" si="33"/>
        <v>2025</v>
      </c>
      <c r="AC234" t="str">
        <f t="shared" si="34"/>
        <v>Unique</v>
      </c>
      <c r="AD234" t="str">
        <f t="shared" si="35"/>
        <v>Clean</v>
      </c>
    </row>
    <row r="235" spans="1:30" x14ac:dyDescent="0.3">
      <c r="A235" t="s">
        <v>817</v>
      </c>
      <c r="B235" s="2">
        <v>45579</v>
      </c>
      <c r="C235" s="2">
        <v>45579</v>
      </c>
      <c r="D235" t="s">
        <v>818</v>
      </c>
      <c r="E235" t="s">
        <v>80</v>
      </c>
      <c r="F235" t="s">
        <v>99</v>
      </c>
      <c r="G235" t="s">
        <v>63</v>
      </c>
      <c r="H235" t="s">
        <v>184</v>
      </c>
      <c r="I235" t="s">
        <v>185</v>
      </c>
      <c r="J235" t="s">
        <v>50</v>
      </c>
      <c r="K235" t="s">
        <v>167</v>
      </c>
      <c r="L235" t="s">
        <v>819</v>
      </c>
      <c r="M235" t="s">
        <v>214</v>
      </c>
      <c r="N235">
        <v>8</v>
      </c>
      <c r="O235">
        <v>3904.59</v>
      </c>
      <c r="P235" s="3">
        <v>0</v>
      </c>
      <c r="Q235">
        <v>31236.720000000001</v>
      </c>
      <c r="R235">
        <v>26377.7</v>
      </c>
      <c r="S235">
        <v>4859.0200000000004</v>
      </c>
      <c r="T235" t="s">
        <v>41</v>
      </c>
      <c r="U235" t="s">
        <v>42</v>
      </c>
      <c r="V235" s="3">
        <f t="shared" si="27"/>
        <v>0</v>
      </c>
      <c r="W235">
        <f t="shared" si="28"/>
        <v>31236.720000000001</v>
      </c>
      <c r="X235">
        <f t="shared" si="29"/>
        <v>4859.0200000000004</v>
      </c>
      <c r="Y235" s="4">
        <f t="shared" si="30"/>
        <v>0.15555474454424154</v>
      </c>
      <c r="Z235">
        <f t="shared" si="31"/>
        <v>0</v>
      </c>
      <c r="AA235">
        <f t="shared" si="32"/>
        <v>10</v>
      </c>
      <c r="AB235">
        <f t="shared" si="33"/>
        <v>2024</v>
      </c>
      <c r="AC235" t="str">
        <f t="shared" si="34"/>
        <v>Unique</v>
      </c>
      <c r="AD235" t="str">
        <f t="shared" si="35"/>
        <v>Warning</v>
      </c>
    </row>
    <row r="236" spans="1:30" x14ac:dyDescent="0.3">
      <c r="A236" t="s">
        <v>820</v>
      </c>
      <c r="B236" s="2">
        <v>45537</v>
      </c>
      <c r="C236" s="2">
        <v>45538</v>
      </c>
      <c r="D236" t="s">
        <v>821</v>
      </c>
      <c r="E236" t="s">
        <v>274</v>
      </c>
      <c r="F236" t="s">
        <v>104</v>
      </c>
      <c r="G236" t="s">
        <v>34</v>
      </c>
      <c r="H236" t="s">
        <v>360</v>
      </c>
      <c r="I236" t="s">
        <v>361</v>
      </c>
      <c r="J236" t="s">
        <v>50</v>
      </c>
      <c r="K236" t="s">
        <v>66</v>
      </c>
      <c r="L236" t="s">
        <v>822</v>
      </c>
      <c r="M236" t="s">
        <v>59</v>
      </c>
      <c r="N236">
        <v>9</v>
      </c>
      <c r="O236">
        <v>1353.61</v>
      </c>
      <c r="P236" s="3">
        <v>0.1</v>
      </c>
      <c r="Q236">
        <v>10964.24</v>
      </c>
      <c r="R236">
        <v>9262.4699999999993</v>
      </c>
      <c r="S236">
        <v>1701.77</v>
      </c>
      <c r="T236" t="s">
        <v>41</v>
      </c>
      <c r="U236" t="s">
        <v>42</v>
      </c>
      <c r="V236" s="3">
        <f t="shared" si="27"/>
        <v>0.1</v>
      </c>
      <c r="W236">
        <f t="shared" si="28"/>
        <v>10964.241</v>
      </c>
      <c r="X236">
        <f t="shared" si="29"/>
        <v>1701.7710000000006</v>
      </c>
      <c r="Y236" s="4">
        <f t="shared" si="30"/>
        <v>0.15521101734265058</v>
      </c>
      <c r="Z236">
        <f t="shared" si="31"/>
        <v>1</v>
      </c>
      <c r="AA236">
        <f t="shared" si="32"/>
        <v>9</v>
      </c>
      <c r="AB236">
        <f t="shared" si="33"/>
        <v>2024</v>
      </c>
      <c r="AC236" t="str">
        <f t="shared" si="34"/>
        <v>Unique</v>
      </c>
      <c r="AD236" t="str">
        <f t="shared" si="35"/>
        <v>Clean</v>
      </c>
    </row>
    <row r="237" spans="1:30" x14ac:dyDescent="0.3">
      <c r="A237" t="s">
        <v>823</v>
      </c>
      <c r="B237" s="2">
        <v>45598</v>
      </c>
      <c r="C237" s="2">
        <v>45599</v>
      </c>
      <c r="D237" t="s">
        <v>824</v>
      </c>
      <c r="E237" t="s">
        <v>127</v>
      </c>
      <c r="F237" t="s">
        <v>46</v>
      </c>
      <c r="G237" t="s">
        <v>72</v>
      </c>
      <c r="H237" t="s">
        <v>35</v>
      </c>
      <c r="I237" t="s">
        <v>118</v>
      </c>
      <c r="J237" t="s">
        <v>37</v>
      </c>
      <c r="K237" t="s">
        <v>133</v>
      </c>
      <c r="L237" t="s">
        <v>825</v>
      </c>
      <c r="M237" t="s">
        <v>68</v>
      </c>
      <c r="N237">
        <v>6</v>
      </c>
      <c r="O237">
        <v>2671.29</v>
      </c>
      <c r="P237" s="3">
        <v>0.05</v>
      </c>
      <c r="Q237">
        <v>15226.35</v>
      </c>
      <c r="R237">
        <v>11145.28</v>
      </c>
      <c r="S237">
        <v>4081.07</v>
      </c>
      <c r="T237" t="s">
        <v>41</v>
      </c>
      <c r="U237" t="s">
        <v>42</v>
      </c>
      <c r="V237" s="3">
        <f t="shared" si="27"/>
        <v>0.05</v>
      </c>
      <c r="W237">
        <f t="shared" si="28"/>
        <v>15226.352999999999</v>
      </c>
      <c r="X237">
        <f t="shared" si="29"/>
        <v>4081.0729999999985</v>
      </c>
      <c r="Y237" s="4">
        <f t="shared" si="30"/>
        <v>0.26802695300706603</v>
      </c>
      <c r="Z237">
        <f t="shared" si="31"/>
        <v>1</v>
      </c>
      <c r="AA237">
        <f t="shared" si="32"/>
        <v>11</v>
      </c>
      <c r="AB237">
        <f t="shared" si="33"/>
        <v>2024</v>
      </c>
      <c r="AC237" t="str">
        <f t="shared" si="34"/>
        <v>Unique</v>
      </c>
      <c r="AD237" t="str">
        <f t="shared" si="35"/>
        <v>Clean</v>
      </c>
    </row>
    <row r="238" spans="1:30" x14ac:dyDescent="0.3">
      <c r="A238" t="s">
        <v>826</v>
      </c>
      <c r="B238" s="2">
        <v>45579</v>
      </c>
      <c r="C238" s="2">
        <v>45586</v>
      </c>
      <c r="D238" t="s">
        <v>827</v>
      </c>
      <c r="E238" t="s">
        <v>123</v>
      </c>
      <c r="F238" t="s">
        <v>99</v>
      </c>
      <c r="G238" t="s">
        <v>34</v>
      </c>
      <c r="H238" t="s">
        <v>145</v>
      </c>
      <c r="I238" t="s">
        <v>146</v>
      </c>
      <c r="J238" t="s">
        <v>50</v>
      </c>
      <c r="K238" t="s">
        <v>167</v>
      </c>
      <c r="L238" t="s">
        <v>828</v>
      </c>
      <c r="M238" t="s">
        <v>59</v>
      </c>
      <c r="N238">
        <v>6</v>
      </c>
      <c r="O238">
        <v>4062.78</v>
      </c>
      <c r="P238" s="3">
        <v>0</v>
      </c>
      <c r="Q238">
        <v>24376.68</v>
      </c>
      <c r="R238">
        <v>18533.39</v>
      </c>
      <c r="S238">
        <v>5843.29</v>
      </c>
      <c r="T238" t="s">
        <v>41</v>
      </c>
      <c r="U238" t="s">
        <v>42</v>
      </c>
      <c r="V238" s="3">
        <f t="shared" si="27"/>
        <v>0</v>
      </c>
      <c r="W238">
        <f t="shared" si="28"/>
        <v>24376.68</v>
      </c>
      <c r="X238">
        <f t="shared" si="29"/>
        <v>5843.2900000000009</v>
      </c>
      <c r="Y238" s="4">
        <f t="shared" si="30"/>
        <v>0.23970819652224998</v>
      </c>
      <c r="Z238">
        <f t="shared" si="31"/>
        <v>7</v>
      </c>
      <c r="AA238">
        <f t="shared" si="32"/>
        <v>10</v>
      </c>
      <c r="AB238">
        <f t="shared" si="33"/>
        <v>2024</v>
      </c>
      <c r="AC238" t="str">
        <f t="shared" si="34"/>
        <v>Unique</v>
      </c>
      <c r="AD238" t="str">
        <f t="shared" si="35"/>
        <v>Clean</v>
      </c>
    </row>
    <row r="239" spans="1:30" x14ac:dyDescent="0.3">
      <c r="A239" t="s">
        <v>829</v>
      </c>
      <c r="B239" s="2">
        <v>45531</v>
      </c>
      <c r="C239" s="2">
        <v>45531</v>
      </c>
      <c r="D239" t="s">
        <v>830</v>
      </c>
      <c r="E239" t="s">
        <v>45</v>
      </c>
      <c r="F239" t="s">
        <v>33</v>
      </c>
      <c r="G239" t="s">
        <v>34</v>
      </c>
      <c r="H239" t="s">
        <v>246</v>
      </c>
      <c r="I239" t="s">
        <v>247</v>
      </c>
      <c r="J239" t="s">
        <v>83</v>
      </c>
      <c r="K239" t="s">
        <v>89</v>
      </c>
      <c r="L239" t="s">
        <v>831</v>
      </c>
      <c r="M239" t="s">
        <v>68</v>
      </c>
      <c r="N239">
        <v>9</v>
      </c>
      <c r="O239">
        <v>2330.3000000000002</v>
      </c>
      <c r="P239" s="3">
        <v>0</v>
      </c>
      <c r="Q239">
        <v>20972.7</v>
      </c>
      <c r="R239">
        <v>13504.88</v>
      </c>
      <c r="S239">
        <v>7467.82</v>
      </c>
      <c r="T239" t="s">
        <v>41</v>
      </c>
      <c r="U239" t="s">
        <v>42</v>
      </c>
      <c r="V239" s="3">
        <f t="shared" si="27"/>
        <v>0</v>
      </c>
      <c r="W239">
        <f t="shared" si="28"/>
        <v>20972.7</v>
      </c>
      <c r="X239">
        <f t="shared" si="29"/>
        <v>7467.8200000000015</v>
      </c>
      <c r="Y239" s="4">
        <f t="shared" si="30"/>
        <v>0.35607337157352181</v>
      </c>
      <c r="Z239">
        <f t="shared" si="31"/>
        <v>0</v>
      </c>
      <c r="AA239">
        <f t="shared" si="32"/>
        <v>8</v>
      </c>
      <c r="AB239">
        <f t="shared" si="33"/>
        <v>2024</v>
      </c>
      <c r="AC239" t="str">
        <f t="shared" si="34"/>
        <v>Unique</v>
      </c>
      <c r="AD239" t="str">
        <f t="shared" si="35"/>
        <v>Clean</v>
      </c>
    </row>
    <row r="240" spans="1:30" x14ac:dyDescent="0.3">
      <c r="A240" t="s">
        <v>832</v>
      </c>
      <c r="B240" s="2">
        <v>45303</v>
      </c>
      <c r="C240" s="2">
        <v>45308</v>
      </c>
      <c r="D240" t="s">
        <v>833</v>
      </c>
      <c r="E240" t="s">
        <v>62</v>
      </c>
      <c r="F240" t="s">
        <v>33</v>
      </c>
      <c r="G240" t="s">
        <v>63</v>
      </c>
      <c r="H240" t="s">
        <v>93</v>
      </c>
      <c r="I240" t="s">
        <v>94</v>
      </c>
      <c r="J240" t="s">
        <v>37</v>
      </c>
      <c r="K240" t="s">
        <v>133</v>
      </c>
      <c r="L240" t="s">
        <v>834</v>
      </c>
      <c r="M240" t="s">
        <v>59</v>
      </c>
      <c r="N240">
        <v>7</v>
      </c>
      <c r="O240">
        <v>4005.05</v>
      </c>
      <c r="P240" s="3">
        <v>0.55000000000000004</v>
      </c>
      <c r="Q240">
        <v>26633.58</v>
      </c>
      <c r="R240">
        <v>18838.75</v>
      </c>
      <c r="S240">
        <v>7794.83</v>
      </c>
      <c r="T240" t="s">
        <v>41</v>
      </c>
      <c r="U240" t="s">
        <v>42</v>
      </c>
      <c r="V240" s="3">
        <f t="shared" si="27"/>
        <v>0.55000000000000004</v>
      </c>
      <c r="W240">
        <f t="shared" si="28"/>
        <v>12615.907499999999</v>
      </c>
      <c r="X240">
        <f t="shared" si="29"/>
        <v>-6222.8425000000007</v>
      </c>
      <c r="Y240" s="4">
        <f t="shared" si="30"/>
        <v>-0.4932536561480021</v>
      </c>
      <c r="Z240">
        <f t="shared" si="31"/>
        <v>5</v>
      </c>
      <c r="AA240">
        <f t="shared" si="32"/>
        <v>1</v>
      </c>
      <c r="AB240">
        <f t="shared" si="33"/>
        <v>2024</v>
      </c>
      <c r="AC240" t="str">
        <f t="shared" si="34"/>
        <v>Unique</v>
      </c>
      <c r="AD240" t="str">
        <f t="shared" si="35"/>
        <v>Clean</v>
      </c>
    </row>
    <row r="241" spans="1:30" x14ac:dyDescent="0.3">
      <c r="A241" t="s">
        <v>835</v>
      </c>
      <c r="B241" s="2">
        <v>45556</v>
      </c>
      <c r="C241" s="2">
        <v>45556</v>
      </c>
      <c r="D241" t="s">
        <v>836</v>
      </c>
      <c r="E241" t="s">
        <v>274</v>
      </c>
      <c r="F241" t="s">
        <v>99</v>
      </c>
      <c r="G241" t="s">
        <v>63</v>
      </c>
      <c r="H241" t="s">
        <v>184</v>
      </c>
      <c r="I241" t="s">
        <v>185</v>
      </c>
      <c r="J241" t="s">
        <v>83</v>
      </c>
      <c r="K241" t="s">
        <v>284</v>
      </c>
      <c r="L241" t="s">
        <v>837</v>
      </c>
      <c r="M241" t="s">
        <v>59</v>
      </c>
      <c r="N241">
        <v>2</v>
      </c>
      <c r="O241">
        <v>1960.06</v>
      </c>
      <c r="P241" s="3">
        <v>0.2</v>
      </c>
      <c r="Q241">
        <v>3136.1</v>
      </c>
      <c r="R241">
        <v>2279.4899999999998</v>
      </c>
      <c r="S241">
        <v>856.61</v>
      </c>
      <c r="T241" t="s">
        <v>41</v>
      </c>
      <c r="U241" t="s">
        <v>42</v>
      </c>
      <c r="V241" s="3">
        <f t="shared" si="27"/>
        <v>0.2</v>
      </c>
      <c r="W241">
        <f t="shared" si="28"/>
        <v>3136.096</v>
      </c>
      <c r="X241">
        <f t="shared" si="29"/>
        <v>856.60600000000022</v>
      </c>
      <c r="Y241" s="4">
        <f t="shared" si="30"/>
        <v>0.273144061916472</v>
      </c>
      <c r="Z241">
        <f t="shared" si="31"/>
        <v>0</v>
      </c>
      <c r="AA241">
        <f t="shared" si="32"/>
        <v>9</v>
      </c>
      <c r="AB241">
        <f t="shared" si="33"/>
        <v>2024</v>
      </c>
      <c r="AC241" t="str">
        <f t="shared" si="34"/>
        <v>Unique</v>
      </c>
      <c r="AD241" t="str">
        <f t="shared" si="35"/>
        <v>Clean</v>
      </c>
    </row>
    <row r="242" spans="1:30" x14ac:dyDescent="0.3">
      <c r="A242" t="s">
        <v>838</v>
      </c>
      <c r="B242" s="2">
        <v>45643</v>
      </c>
      <c r="C242" s="2">
        <v>45649</v>
      </c>
      <c r="D242" t="s">
        <v>839</v>
      </c>
      <c r="E242" t="s">
        <v>137</v>
      </c>
      <c r="F242" t="s">
        <v>99</v>
      </c>
      <c r="G242" t="s">
        <v>63</v>
      </c>
      <c r="H242" t="s">
        <v>64</v>
      </c>
      <c r="I242" t="s">
        <v>65</v>
      </c>
      <c r="J242" t="s">
        <v>37</v>
      </c>
      <c r="K242" t="s">
        <v>162</v>
      </c>
      <c r="L242" t="s">
        <v>840</v>
      </c>
      <c r="M242" t="s">
        <v>59</v>
      </c>
      <c r="N242">
        <v>9</v>
      </c>
      <c r="O242">
        <v>2315.1</v>
      </c>
      <c r="P242" s="3">
        <v>0</v>
      </c>
      <c r="Q242">
        <v>20835.900000000001</v>
      </c>
      <c r="R242">
        <v>13928.19</v>
      </c>
      <c r="S242">
        <v>6907.71</v>
      </c>
      <c r="T242" t="s">
        <v>41</v>
      </c>
      <c r="U242" t="s">
        <v>42</v>
      </c>
      <c r="V242" s="3">
        <f t="shared" si="27"/>
        <v>0</v>
      </c>
      <c r="W242">
        <f t="shared" si="28"/>
        <v>20835.899999999998</v>
      </c>
      <c r="X242">
        <f t="shared" si="29"/>
        <v>6907.7099999999973</v>
      </c>
      <c r="Y242" s="4">
        <f t="shared" si="30"/>
        <v>0.33152923559817421</v>
      </c>
      <c r="Z242">
        <f t="shared" si="31"/>
        <v>6</v>
      </c>
      <c r="AA242">
        <f t="shared" si="32"/>
        <v>12</v>
      </c>
      <c r="AB242">
        <f t="shared" si="33"/>
        <v>2024</v>
      </c>
      <c r="AC242" t="str">
        <f t="shared" si="34"/>
        <v>Unique</v>
      </c>
      <c r="AD242" t="str">
        <f t="shared" si="35"/>
        <v>Clean</v>
      </c>
    </row>
    <row r="243" spans="1:30" x14ac:dyDescent="0.3">
      <c r="A243" t="s">
        <v>841</v>
      </c>
      <c r="B243" s="2">
        <v>45844</v>
      </c>
      <c r="C243" s="2">
        <v>45844</v>
      </c>
      <c r="D243" t="s">
        <v>842</v>
      </c>
      <c r="E243" t="s">
        <v>141</v>
      </c>
      <c r="F243" t="s">
        <v>99</v>
      </c>
      <c r="G243" t="s">
        <v>34</v>
      </c>
      <c r="H243" t="s">
        <v>246</v>
      </c>
      <c r="I243" t="s">
        <v>247</v>
      </c>
      <c r="J243" t="s">
        <v>37</v>
      </c>
      <c r="K243" t="s">
        <v>133</v>
      </c>
      <c r="L243" t="s">
        <v>843</v>
      </c>
      <c r="M243" t="s">
        <v>68</v>
      </c>
      <c r="N243">
        <v>1</v>
      </c>
      <c r="O243">
        <v>1617.2</v>
      </c>
      <c r="P243" s="3">
        <v>0.25</v>
      </c>
      <c r="Q243">
        <v>1212.9000000000001</v>
      </c>
      <c r="R243">
        <v>690.52</v>
      </c>
      <c r="S243">
        <v>522.38</v>
      </c>
      <c r="T243" t="s">
        <v>120</v>
      </c>
      <c r="U243" t="s">
        <v>112</v>
      </c>
      <c r="V243" s="3">
        <f t="shared" si="27"/>
        <v>0.25</v>
      </c>
      <c r="W243">
        <f t="shared" si="28"/>
        <v>1212.9000000000001</v>
      </c>
      <c r="X243">
        <f t="shared" si="29"/>
        <v>522.38000000000011</v>
      </c>
      <c r="Y243" s="4">
        <f t="shared" si="30"/>
        <v>0.4306867837414462</v>
      </c>
      <c r="Z243">
        <f t="shared" si="31"/>
        <v>0</v>
      </c>
      <c r="AA243">
        <f t="shared" si="32"/>
        <v>7</v>
      </c>
      <c r="AB243">
        <f t="shared" si="33"/>
        <v>2025</v>
      </c>
      <c r="AC243" t="str">
        <f t="shared" si="34"/>
        <v>Unique</v>
      </c>
      <c r="AD243" t="str">
        <f t="shared" si="35"/>
        <v>Clean</v>
      </c>
    </row>
    <row r="244" spans="1:30" x14ac:dyDescent="0.3">
      <c r="A244" t="s">
        <v>844</v>
      </c>
      <c r="B244" s="2">
        <v>45695</v>
      </c>
      <c r="C244" s="2">
        <v>45695</v>
      </c>
      <c r="D244" t="s">
        <v>845</v>
      </c>
      <c r="E244" t="s">
        <v>62</v>
      </c>
      <c r="F244" t="s">
        <v>33</v>
      </c>
      <c r="G244" t="s">
        <v>34</v>
      </c>
      <c r="H244" t="s">
        <v>145</v>
      </c>
      <c r="I244" t="s">
        <v>146</v>
      </c>
      <c r="J244" t="s">
        <v>37</v>
      </c>
      <c r="K244" t="s">
        <v>57</v>
      </c>
      <c r="L244" t="s">
        <v>846</v>
      </c>
      <c r="M244" t="s">
        <v>40</v>
      </c>
      <c r="N244">
        <v>3</v>
      </c>
      <c r="O244">
        <v>1999.24</v>
      </c>
      <c r="P244" s="3">
        <v>0.05</v>
      </c>
      <c r="Q244">
        <v>5697.83</v>
      </c>
      <c r="R244">
        <v>4251.5</v>
      </c>
      <c r="S244">
        <v>1446.33</v>
      </c>
      <c r="T244" t="s">
        <v>41</v>
      </c>
      <c r="U244" t="s">
        <v>42</v>
      </c>
      <c r="V244" s="3">
        <f t="shared" si="27"/>
        <v>0.05</v>
      </c>
      <c r="W244">
        <f t="shared" si="28"/>
        <v>5697.8339999999998</v>
      </c>
      <c r="X244">
        <f t="shared" si="29"/>
        <v>1446.3339999999998</v>
      </c>
      <c r="Y244" s="4">
        <f t="shared" si="30"/>
        <v>0.25383926593860051</v>
      </c>
      <c r="Z244">
        <f t="shared" si="31"/>
        <v>0</v>
      </c>
      <c r="AA244">
        <f t="shared" si="32"/>
        <v>2</v>
      </c>
      <c r="AB244">
        <f t="shared" si="33"/>
        <v>2025</v>
      </c>
      <c r="AC244" t="str">
        <f t="shared" si="34"/>
        <v>Unique</v>
      </c>
      <c r="AD244" t="str">
        <f t="shared" si="35"/>
        <v>Clean</v>
      </c>
    </row>
    <row r="245" spans="1:30" x14ac:dyDescent="0.3">
      <c r="A245" t="s">
        <v>847</v>
      </c>
      <c r="B245" s="2">
        <v>45867</v>
      </c>
      <c r="C245" s="2">
        <v>45871</v>
      </c>
      <c r="D245" t="s">
        <v>848</v>
      </c>
      <c r="E245" t="s">
        <v>141</v>
      </c>
      <c r="F245" t="s">
        <v>46</v>
      </c>
      <c r="G245" t="s">
        <v>214</v>
      </c>
      <c r="H245" t="s">
        <v>81</v>
      </c>
      <c r="I245" t="s">
        <v>82</v>
      </c>
      <c r="J245" t="s">
        <v>83</v>
      </c>
      <c r="K245" t="s">
        <v>84</v>
      </c>
      <c r="L245" t="s">
        <v>849</v>
      </c>
      <c r="M245" t="s">
        <v>59</v>
      </c>
      <c r="N245">
        <v>1</v>
      </c>
      <c r="O245">
        <v>4499.46</v>
      </c>
      <c r="P245" s="3">
        <v>0.1</v>
      </c>
      <c r="Q245">
        <v>4049.51</v>
      </c>
      <c r="R245">
        <v>2509.1999999999998</v>
      </c>
      <c r="S245">
        <v>1540.31</v>
      </c>
      <c r="T245" t="s">
        <v>41</v>
      </c>
      <c r="U245" t="s">
        <v>42</v>
      </c>
      <c r="V245" s="3">
        <f t="shared" si="27"/>
        <v>0.1</v>
      </c>
      <c r="W245">
        <f t="shared" si="28"/>
        <v>4049.5140000000001</v>
      </c>
      <c r="X245">
        <f t="shared" si="29"/>
        <v>1540.3140000000003</v>
      </c>
      <c r="Y245" s="4">
        <f t="shared" si="30"/>
        <v>0.38037008885510715</v>
      </c>
      <c r="Z245">
        <f t="shared" si="31"/>
        <v>4</v>
      </c>
      <c r="AA245">
        <f t="shared" si="32"/>
        <v>7</v>
      </c>
      <c r="AB245">
        <f t="shared" si="33"/>
        <v>2025</v>
      </c>
      <c r="AC245" t="str">
        <f t="shared" si="34"/>
        <v>Unique</v>
      </c>
      <c r="AD245" t="str">
        <f t="shared" si="35"/>
        <v>Warning</v>
      </c>
    </row>
    <row r="246" spans="1:30" x14ac:dyDescent="0.3">
      <c r="A246" t="s">
        <v>850</v>
      </c>
      <c r="B246" s="2">
        <v>45527</v>
      </c>
      <c r="C246" s="2">
        <v>45528</v>
      </c>
      <c r="D246" t="s">
        <v>851</v>
      </c>
      <c r="E246" t="s">
        <v>88</v>
      </c>
      <c r="F246" t="s">
        <v>33</v>
      </c>
      <c r="G246" t="s">
        <v>63</v>
      </c>
      <c r="H246" t="s">
        <v>64</v>
      </c>
      <c r="I246" t="s">
        <v>65</v>
      </c>
      <c r="J246" t="s">
        <v>50</v>
      </c>
      <c r="K246" t="s">
        <v>167</v>
      </c>
      <c r="L246" t="s">
        <v>852</v>
      </c>
      <c r="M246" t="s">
        <v>53</v>
      </c>
      <c r="N246">
        <v>6</v>
      </c>
      <c r="O246">
        <v>1021.89</v>
      </c>
      <c r="P246" s="3">
        <v>0</v>
      </c>
      <c r="Q246">
        <v>6131.34</v>
      </c>
      <c r="R246">
        <v>4060.88</v>
      </c>
      <c r="S246">
        <v>2070.46</v>
      </c>
      <c r="T246" t="s">
        <v>41</v>
      </c>
      <c r="U246" t="s">
        <v>42</v>
      </c>
      <c r="V246" s="3">
        <f t="shared" si="27"/>
        <v>0</v>
      </c>
      <c r="W246">
        <f t="shared" si="28"/>
        <v>6131.34</v>
      </c>
      <c r="X246">
        <f t="shared" si="29"/>
        <v>2070.46</v>
      </c>
      <c r="Y246" s="4">
        <f t="shared" si="30"/>
        <v>0.33768474754295147</v>
      </c>
      <c r="Z246">
        <f t="shared" si="31"/>
        <v>1</v>
      </c>
      <c r="AA246">
        <f t="shared" si="32"/>
        <v>8</v>
      </c>
      <c r="AB246">
        <f t="shared" si="33"/>
        <v>2024</v>
      </c>
      <c r="AC246" t="str">
        <f t="shared" si="34"/>
        <v>Unique</v>
      </c>
      <c r="AD246" t="str">
        <f t="shared" si="35"/>
        <v>Clean</v>
      </c>
    </row>
    <row r="247" spans="1:30" x14ac:dyDescent="0.3">
      <c r="A247" t="s">
        <v>853</v>
      </c>
      <c r="B247" s="2">
        <v>45583</v>
      </c>
      <c r="C247" s="2">
        <v>45589</v>
      </c>
      <c r="D247" t="s">
        <v>854</v>
      </c>
      <c r="E247" t="s">
        <v>88</v>
      </c>
      <c r="F247" t="s">
        <v>104</v>
      </c>
      <c r="G247" t="s">
        <v>63</v>
      </c>
      <c r="H247" t="s">
        <v>194</v>
      </c>
      <c r="I247" t="s">
        <v>195</v>
      </c>
      <c r="J247" t="s">
        <v>50</v>
      </c>
      <c r="K247" t="s">
        <v>75</v>
      </c>
      <c r="L247" t="s">
        <v>855</v>
      </c>
      <c r="M247" t="s">
        <v>40</v>
      </c>
      <c r="N247">
        <v>3</v>
      </c>
      <c r="O247">
        <v>3275.93</v>
      </c>
      <c r="P247" s="3">
        <v>0</v>
      </c>
      <c r="Q247">
        <v>9827.7900000000009</v>
      </c>
      <c r="R247">
        <v>5478.28</v>
      </c>
      <c r="S247">
        <v>4349.51</v>
      </c>
      <c r="T247" t="s">
        <v>41</v>
      </c>
      <c r="U247" t="s">
        <v>42</v>
      </c>
      <c r="V247" s="3">
        <f t="shared" si="27"/>
        <v>0</v>
      </c>
      <c r="W247">
        <f t="shared" si="28"/>
        <v>9827.7899999999991</v>
      </c>
      <c r="X247">
        <f t="shared" si="29"/>
        <v>4349.5099999999993</v>
      </c>
      <c r="Y247" s="4">
        <f t="shared" si="30"/>
        <v>0.44257254174132737</v>
      </c>
      <c r="Z247">
        <f t="shared" si="31"/>
        <v>6</v>
      </c>
      <c r="AA247">
        <f t="shared" si="32"/>
        <v>10</v>
      </c>
      <c r="AB247">
        <f t="shared" si="33"/>
        <v>2024</v>
      </c>
      <c r="AC247" t="str">
        <f t="shared" si="34"/>
        <v>Unique</v>
      </c>
      <c r="AD247" t="str">
        <f t="shared" si="35"/>
        <v>Clean</v>
      </c>
    </row>
    <row r="248" spans="1:30" x14ac:dyDescent="0.3">
      <c r="A248" t="s">
        <v>856</v>
      </c>
      <c r="B248" s="2">
        <v>45416</v>
      </c>
      <c r="C248" s="2">
        <v>45421</v>
      </c>
      <c r="D248" t="s">
        <v>857</v>
      </c>
      <c r="E248" t="s">
        <v>71</v>
      </c>
      <c r="F248" t="s">
        <v>99</v>
      </c>
      <c r="G248" t="s">
        <v>34</v>
      </c>
      <c r="H248" t="s">
        <v>131</v>
      </c>
      <c r="I248" t="s">
        <v>132</v>
      </c>
      <c r="J248" t="s">
        <v>83</v>
      </c>
      <c r="K248" t="s">
        <v>284</v>
      </c>
      <c r="L248" t="s">
        <v>858</v>
      </c>
      <c r="M248" t="s">
        <v>53</v>
      </c>
      <c r="N248">
        <v>3</v>
      </c>
      <c r="O248">
        <v>231.95</v>
      </c>
      <c r="P248" s="3">
        <v>0.25</v>
      </c>
      <c r="Q248">
        <v>521.89</v>
      </c>
      <c r="R248">
        <v>444.52</v>
      </c>
      <c r="S248">
        <v>77.37</v>
      </c>
      <c r="T248" t="s">
        <v>111</v>
      </c>
      <c r="U248" t="s">
        <v>77</v>
      </c>
      <c r="V248" s="3">
        <f t="shared" si="27"/>
        <v>0.25</v>
      </c>
      <c r="W248">
        <f t="shared" si="28"/>
        <v>521.88749999999993</v>
      </c>
      <c r="X248">
        <f t="shared" si="29"/>
        <v>77.36749999999995</v>
      </c>
      <c r="Y248" s="4">
        <f t="shared" si="30"/>
        <v>0.14824555100476627</v>
      </c>
      <c r="Z248">
        <f t="shared" si="31"/>
        <v>5</v>
      </c>
      <c r="AA248">
        <f t="shared" si="32"/>
        <v>5</v>
      </c>
      <c r="AB248">
        <f t="shared" si="33"/>
        <v>2024</v>
      </c>
      <c r="AC248" t="str">
        <f t="shared" si="34"/>
        <v>Unique</v>
      </c>
      <c r="AD248" t="str">
        <f t="shared" si="35"/>
        <v>Warning</v>
      </c>
    </row>
    <row r="249" spans="1:30" x14ac:dyDescent="0.3">
      <c r="A249" t="s">
        <v>859</v>
      </c>
      <c r="B249" s="2">
        <v>45498</v>
      </c>
      <c r="C249" s="2">
        <v>45505</v>
      </c>
      <c r="D249" t="s">
        <v>860</v>
      </c>
      <c r="E249" t="s">
        <v>127</v>
      </c>
      <c r="F249" t="s">
        <v>99</v>
      </c>
      <c r="G249" t="s">
        <v>34</v>
      </c>
      <c r="H249" t="s">
        <v>35</v>
      </c>
      <c r="I249" t="s">
        <v>36</v>
      </c>
      <c r="J249" t="s">
        <v>83</v>
      </c>
      <c r="K249" t="s">
        <v>84</v>
      </c>
      <c r="L249" t="s">
        <v>861</v>
      </c>
      <c r="M249" t="s">
        <v>40</v>
      </c>
      <c r="N249">
        <v>8</v>
      </c>
      <c r="O249">
        <v>2493.4</v>
      </c>
      <c r="P249" s="3">
        <v>0.25</v>
      </c>
      <c r="Q249">
        <v>14960.4</v>
      </c>
      <c r="R249">
        <v>12500.84</v>
      </c>
      <c r="S249">
        <v>2459.56</v>
      </c>
      <c r="T249" t="s">
        <v>41</v>
      </c>
      <c r="U249" t="s">
        <v>42</v>
      </c>
      <c r="V249" s="3">
        <f t="shared" si="27"/>
        <v>0.25</v>
      </c>
      <c r="W249">
        <f t="shared" si="28"/>
        <v>14960.400000000001</v>
      </c>
      <c r="X249">
        <f t="shared" si="29"/>
        <v>2459.5600000000013</v>
      </c>
      <c r="Y249" s="4">
        <f t="shared" si="30"/>
        <v>0.16440469506162944</v>
      </c>
      <c r="Z249">
        <f t="shared" si="31"/>
        <v>7</v>
      </c>
      <c r="AA249">
        <f t="shared" si="32"/>
        <v>7</v>
      </c>
      <c r="AB249">
        <f t="shared" si="33"/>
        <v>2024</v>
      </c>
      <c r="AC249" t="str">
        <f t="shared" si="34"/>
        <v>Unique</v>
      </c>
      <c r="AD249" t="str">
        <f t="shared" si="35"/>
        <v>Clean</v>
      </c>
    </row>
    <row r="250" spans="1:30" x14ac:dyDescent="0.3">
      <c r="A250" t="s">
        <v>862</v>
      </c>
      <c r="B250" s="2">
        <v>45445</v>
      </c>
      <c r="C250" s="2">
        <v>45450</v>
      </c>
      <c r="D250" t="s">
        <v>863</v>
      </c>
      <c r="E250" t="s">
        <v>150</v>
      </c>
      <c r="F250" t="s">
        <v>104</v>
      </c>
      <c r="G250" t="s">
        <v>47</v>
      </c>
      <c r="H250" t="s">
        <v>48</v>
      </c>
      <c r="I250" t="s">
        <v>49</v>
      </c>
      <c r="J250" t="s">
        <v>37</v>
      </c>
      <c r="K250" t="s">
        <v>100</v>
      </c>
      <c r="L250" t="s">
        <v>864</v>
      </c>
      <c r="M250" t="s">
        <v>40</v>
      </c>
      <c r="N250">
        <v>9</v>
      </c>
      <c r="O250">
        <v>787.91</v>
      </c>
      <c r="P250" s="3">
        <v>0.15</v>
      </c>
      <c r="Q250">
        <v>6027.51</v>
      </c>
      <c r="R250">
        <v>4883.82</v>
      </c>
      <c r="S250">
        <v>1143.69</v>
      </c>
      <c r="T250" t="s">
        <v>41</v>
      </c>
      <c r="U250" t="s">
        <v>42</v>
      </c>
      <c r="V250" s="3">
        <f t="shared" si="27"/>
        <v>0.15</v>
      </c>
      <c r="W250">
        <f t="shared" si="28"/>
        <v>6027.5114999999996</v>
      </c>
      <c r="X250">
        <f t="shared" si="29"/>
        <v>1143.6914999999999</v>
      </c>
      <c r="Y250" s="4">
        <f t="shared" si="30"/>
        <v>0.18974522072666306</v>
      </c>
      <c r="Z250">
        <f t="shared" si="31"/>
        <v>5</v>
      </c>
      <c r="AA250">
        <f t="shared" si="32"/>
        <v>6</v>
      </c>
      <c r="AB250">
        <f t="shared" si="33"/>
        <v>2024</v>
      </c>
      <c r="AC250" t="str">
        <f t="shared" si="34"/>
        <v>Unique</v>
      </c>
      <c r="AD250" t="str">
        <f t="shared" si="35"/>
        <v>Clean</v>
      </c>
    </row>
    <row r="251" spans="1:30" x14ac:dyDescent="0.3">
      <c r="A251" t="s">
        <v>865</v>
      </c>
      <c r="B251" s="2">
        <v>45870</v>
      </c>
      <c r="C251" s="2">
        <v>45871</v>
      </c>
      <c r="D251" t="s">
        <v>866</v>
      </c>
      <c r="E251" t="s">
        <v>45</v>
      </c>
      <c r="F251" t="s">
        <v>99</v>
      </c>
      <c r="G251" t="s">
        <v>34</v>
      </c>
      <c r="H251" t="s">
        <v>35</v>
      </c>
      <c r="I251" t="s">
        <v>36</v>
      </c>
      <c r="J251" t="s">
        <v>50</v>
      </c>
      <c r="K251" t="s">
        <v>66</v>
      </c>
      <c r="L251" t="s">
        <v>867</v>
      </c>
      <c r="M251" t="s">
        <v>59</v>
      </c>
      <c r="N251">
        <v>4</v>
      </c>
      <c r="O251">
        <v>2790.29</v>
      </c>
      <c r="P251" s="3">
        <v>0.2</v>
      </c>
      <c r="Q251">
        <v>8928.93</v>
      </c>
      <c r="R251">
        <v>5634.38</v>
      </c>
      <c r="S251">
        <v>3294.55</v>
      </c>
      <c r="T251" t="s">
        <v>41</v>
      </c>
      <c r="U251" t="s">
        <v>42</v>
      </c>
      <c r="V251" s="3">
        <f t="shared" si="27"/>
        <v>0.2</v>
      </c>
      <c r="W251">
        <f t="shared" si="28"/>
        <v>8928.9279999999999</v>
      </c>
      <c r="X251">
        <f t="shared" si="29"/>
        <v>3294.5479999999998</v>
      </c>
      <c r="Y251" s="4">
        <f t="shared" si="30"/>
        <v>0.36897464062875185</v>
      </c>
      <c r="Z251">
        <f t="shared" si="31"/>
        <v>1</v>
      </c>
      <c r="AA251">
        <f t="shared" si="32"/>
        <v>8</v>
      </c>
      <c r="AB251">
        <f t="shared" si="33"/>
        <v>2025</v>
      </c>
      <c r="AC251" t="str">
        <f t="shared" si="34"/>
        <v>Unique</v>
      </c>
      <c r="AD251" t="str">
        <f t="shared" si="35"/>
        <v>Clean</v>
      </c>
    </row>
    <row r="252" spans="1:30" x14ac:dyDescent="0.3">
      <c r="A252" t="s">
        <v>868</v>
      </c>
      <c r="B252" s="2">
        <v>45343</v>
      </c>
      <c r="C252" s="2">
        <v>45349</v>
      </c>
      <c r="D252" t="s">
        <v>869</v>
      </c>
      <c r="E252" t="s">
        <v>62</v>
      </c>
      <c r="F252" t="s">
        <v>46</v>
      </c>
      <c r="G252" t="s">
        <v>47</v>
      </c>
      <c r="H252" t="s">
        <v>108</v>
      </c>
      <c r="I252" t="s">
        <v>109</v>
      </c>
      <c r="J252" t="s">
        <v>50</v>
      </c>
      <c r="K252" t="s">
        <v>66</v>
      </c>
      <c r="L252" t="s">
        <v>870</v>
      </c>
      <c r="M252" t="s">
        <v>68</v>
      </c>
      <c r="N252">
        <v>5</v>
      </c>
      <c r="O252">
        <v>3373.86</v>
      </c>
      <c r="P252" s="3">
        <v>0.15</v>
      </c>
      <c r="Q252">
        <v>14338.9</v>
      </c>
      <c r="R252">
        <v>11897.65</v>
      </c>
      <c r="S252">
        <v>2441.25</v>
      </c>
      <c r="T252" t="s">
        <v>120</v>
      </c>
      <c r="U252" t="s">
        <v>112</v>
      </c>
      <c r="V252" s="3">
        <f t="shared" si="27"/>
        <v>0.15</v>
      </c>
      <c r="W252">
        <f t="shared" si="28"/>
        <v>14338.904999999999</v>
      </c>
      <c r="X252">
        <f t="shared" si="29"/>
        <v>2441.2549999999992</v>
      </c>
      <c r="Y252" s="4">
        <f t="shared" si="30"/>
        <v>0.17025393501107647</v>
      </c>
      <c r="Z252">
        <f t="shared" si="31"/>
        <v>6</v>
      </c>
      <c r="AA252">
        <f t="shared" si="32"/>
        <v>2</v>
      </c>
      <c r="AB252">
        <f t="shared" si="33"/>
        <v>2024</v>
      </c>
      <c r="AC252" t="str">
        <f t="shared" si="34"/>
        <v>Unique</v>
      </c>
      <c r="AD252" t="str">
        <f t="shared" si="35"/>
        <v>Clean</v>
      </c>
    </row>
    <row r="253" spans="1:30" x14ac:dyDescent="0.3">
      <c r="A253" t="s">
        <v>871</v>
      </c>
      <c r="B253" s="2">
        <v>45753</v>
      </c>
      <c r="C253" s="2">
        <v>45757</v>
      </c>
      <c r="D253" t="s">
        <v>872</v>
      </c>
      <c r="E253" t="s">
        <v>71</v>
      </c>
      <c r="F253" t="s">
        <v>99</v>
      </c>
      <c r="G253" t="s">
        <v>72</v>
      </c>
      <c r="H253" t="s">
        <v>189</v>
      </c>
      <c r="I253" t="s">
        <v>190</v>
      </c>
      <c r="J253" t="s">
        <v>50</v>
      </c>
      <c r="K253" t="s">
        <v>51</v>
      </c>
      <c r="L253" t="s">
        <v>873</v>
      </c>
      <c r="M253" t="s">
        <v>40</v>
      </c>
      <c r="N253">
        <v>6</v>
      </c>
      <c r="O253">
        <v>1022.16</v>
      </c>
      <c r="P253" s="3">
        <v>0</v>
      </c>
      <c r="Q253">
        <v>6132.96</v>
      </c>
      <c r="R253">
        <v>4881.1000000000004</v>
      </c>
      <c r="S253">
        <v>1251.8599999999999</v>
      </c>
      <c r="T253" t="s">
        <v>41</v>
      </c>
      <c r="U253" t="s">
        <v>42</v>
      </c>
      <c r="V253" s="3">
        <f t="shared" si="27"/>
        <v>0</v>
      </c>
      <c r="W253">
        <f t="shared" si="28"/>
        <v>6132.96</v>
      </c>
      <c r="X253">
        <f t="shared" si="29"/>
        <v>1251.8599999999997</v>
      </c>
      <c r="Y253" s="4">
        <f t="shared" si="30"/>
        <v>0.20412003339333692</v>
      </c>
      <c r="Z253">
        <f t="shared" si="31"/>
        <v>4</v>
      </c>
      <c r="AA253">
        <f t="shared" si="32"/>
        <v>4</v>
      </c>
      <c r="AB253">
        <f t="shared" si="33"/>
        <v>2025</v>
      </c>
      <c r="AC253" t="str">
        <f t="shared" si="34"/>
        <v>Unique</v>
      </c>
      <c r="AD253" t="str">
        <f t="shared" si="35"/>
        <v>Clean</v>
      </c>
    </row>
    <row r="254" spans="1:30" x14ac:dyDescent="0.3">
      <c r="A254" t="s">
        <v>874</v>
      </c>
      <c r="B254" s="2">
        <v>45833</v>
      </c>
      <c r="C254" s="2">
        <v>45836</v>
      </c>
      <c r="D254" t="s">
        <v>875</v>
      </c>
      <c r="E254" t="s">
        <v>62</v>
      </c>
      <c r="F254" t="s">
        <v>99</v>
      </c>
      <c r="G254" t="s">
        <v>34</v>
      </c>
      <c r="H254" t="s">
        <v>246</v>
      </c>
      <c r="I254" t="s">
        <v>247</v>
      </c>
      <c r="J254" t="s">
        <v>37</v>
      </c>
      <c r="K254" t="s">
        <v>133</v>
      </c>
      <c r="L254" t="s">
        <v>876</v>
      </c>
      <c r="M254" t="s">
        <v>59</v>
      </c>
      <c r="N254">
        <v>2</v>
      </c>
      <c r="O254">
        <v>1455.92</v>
      </c>
      <c r="P254" s="3">
        <v>0.2</v>
      </c>
      <c r="Q254">
        <v>2329.4699999999998</v>
      </c>
      <c r="R254">
        <v>1603.62</v>
      </c>
      <c r="S254">
        <v>725.85</v>
      </c>
      <c r="T254" t="s">
        <v>120</v>
      </c>
      <c r="U254" t="s">
        <v>112</v>
      </c>
      <c r="V254" s="3">
        <f t="shared" si="27"/>
        <v>0.2</v>
      </c>
      <c r="W254">
        <f t="shared" si="28"/>
        <v>2329.4720000000002</v>
      </c>
      <c r="X254">
        <f t="shared" si="29"/>
        <v>725.85200000000032</v>
      </c>
      <c r="Y254" s="4">
        <f t="shared" si="30"/>
        <v>0.31159507390515973</v>
      </c>
      <c r="Z254">
        <f t="shared" si="31"/>
        <v>3</v>
      </c>
      <c r="AA254">
        <f t="shared" si="32"/>
        <v>6</v>
      </c>
      <c r="AB254">
        <f t="shared" si="33"/>
        <v>2025</v>
      </c>
      <c r="AC254" t="str">
        <f t="shared" si="34"/>
        <v>Unique</v>
      </c>
      <c r="AD254" t="str">
        <f t="shared" si="35"/>
        <v>Clean</v>
      </c>
    </row>
    <row r="255" spans="1:30" x14ac:dyDescent="0.3">
      <c r="A255" t="s">
        <v>877</v>
      </c>
      <c r="B255" s="2">
        <v>45547</v>
      </c>
      <c r="C255" s="2">
        <v>45548</v>
      </c>
      <c r="D255" t="s">
        <v>878</v>
      </c>
      <c r="E255" t="s">
        <v>123</v>
      </c>
      <c r="F255" t="s">
        <v>46</v>
      </c>
      <c r="G255" t="s">
        <v>34</v>
      </c>
      <c r="H255" t="s">
        <v>35</v>
      </c>
      <c r="I255" t="s">
        <v>36</v>
      </c>
      <c r="J255" t="s">
        <v>83</v>
      </c>
      <c r="K255" t="s">
        <v>180</v>
      </c>
      <c r="L255" t="s">
        <v>879</v>
      </c>
      <c r="M255" t="s">
        <v>53</v>
      </c>
      <c r="N255">
        <v>6</v>
      </c>
      <c r="O255">
        <v>832.79</v>
      </c>
      <c r="P255" s="3">
        <v>0.05</v>
      </c>
      <c r="Q255">
        <v>4746.8999999999996</v>
      </c>
      <c r="R255">
        <v>2825.38</v>
      </c>
      <c r="S255">
        <v>1472.89</v>
      </c>
      <c r="T255" t="s">
        <v>111</v>
      </c>
      <c r="U255" t="s">
        <v>77</v>
      </c>
      <c r="V255" s="3">
        <f t="shared" si="27"/>
        <v>0.05</v>
      </c>
      <c r="W255">
        <f t="shared" si="28"/>
        <v>4746.9029999999993</v>
      </c>
      <c r="X255">
        <f t="shared" si="29"/>
        <v>1921.5229999999992</v>
      </c>
      <c r="Y255" s="4">
        <f t="shared" si="30"/>
        <v>0.40479508428969363</v>
      </c>
      <c r="Z255">
        <f t="shared" si="31"/>
        <v>1</v>
      </c>
      <c r="AA255">
        <f t="shared" si="32"/>
        <v>9</v>
      </c>
      <c r="AB255">
        <f t="shared" si="33"/>
        <v>2024</v>
      </c>
      <c r="AC255" t="str">
        <f t="shared" si="34"/>
        <v>Unique</v>
      </c>
      <c r="AD255" t="str">
        <f t="shared" si="35"/>
        <v>Warning</v>
      </c>
    </row>
    <row r="256" spans="1:30" x14ac:dyDescent="0.3">
      <c r="A256" t="s">
        <v>880</v>
      </c>
      <c r="B256" s="2">
        <v>45658</v>
      </c>
      <c r="C256" s="2">
        <v>45660</v>
      </c>
      <c r="D256" t="s">
        <v>881</v>
      </c>
      <c r="E256" t="s">
        <v>71</v>
      </c>
      <c r="F256" t="s">
        <v>33</v>
      </c>
      <c r="G256" t="s">
        <v>72</v>
      </c>
      <c r="H256" t="s">
        <v>81</v>
      </c>
      <c r="I256" t="s">
        <v>82</v>
      </c>
      <c r="J256" t="s">
        <v>83</v>
      </c>
      <c r="K256" t="s">
        <v>84</v>
      </c>
      <c r="L256" t="s">
        <v>882</v>
      </c>
      <c r="M256" t="s">
        <v>53</v>
      </c>
      <c r="N256">
        <v>7</v>
      </c>
      <c r="O256">
        <v>1000.55</v>
      </c>
      <c r="P256" s="3">
        <v>0.2</v>
      </c>
      <c r="Q256">
        <v>5603.08</v>
      </c>
      <c r="R256">
        <v>3132.52</v>
      </c>
      <c r="S256">
        <v>2470.56</v>
      </c>
      <c r="T256" t="s">
        <v>41</v>
      </c>
      <c r="U256" t="s">
        <v>112</v>
      </c>
      <c r="V256" s="3">
        <f t="shared" si="27"/>
        <v>0.2</v>
      </c>
      <c r="W256">
        <f t="shared" si="28"/>
        <v>5603.08</v>
      </c>
      <c r="X256">
        <f t="shared" si="29"/>
        <v>2470.56</v>
      </c>
      <c r="Y256" s="4">
        <f t="shared" si="30"/>
        <v>0.44092891766671188</v>
      </c>
      <c r="Z256">
        <f t="shared" si="31"/>
        <v>2</v>
      </c>
      <c r="AA256">
        <f t="shared" si="32"/>
        <v>1</v>
      </c>
      <c r="AB256">
        <f t="shared" si="33"/>
        <v>2025</v>
      </c>
      <c r="AC256" t="str">
        <f t="shared" si="34"/>
        <v>Unique</v>
      </c>
      <c r="AD256" t="str">
        <f t="shared" si="35"/>
        <v>Clean</v>
      </c>
    </row>
    <row r="257" spans="1:30" x14ac:dyDescent="0.3">
      <c r="A257" t="s">
        <v>883</v>
      </c>
      <c r="B257" s="2">
        <v>45692</v>
      </c>
      <c r="C257" s="2">
        <v>45698</v>
      </c>
      <c r="D257" t="s">
        <v>884</v>
      </c>
      <c r="E257" t="s">
        <v>56</v>
      </c>
      <c r="F257" t="s">
        <v>99</v>
      </c>
      <c r="G257" t="s">
        <v>72</v>
      </c>
      <c r="H257" t="s">
        <v>73</v>
      </c>
      <c r="I257" t="s">
        <v>74</v>
      </c>
      <c r="J257" t="s">
        <v>83</v>
      </c>
      <c r="K257" t="s">
        <v>180</v>
      </c>
      <c r="L257" t="s">
        <v>885</v>
      </c>
      <c r="M257" t="s">
        <v>59</v>
      </c>
      <c r="N257">
        <v>7</v>
      </c>
      <c r="O257">
        <v>1830</v>
      </c>
      <c r="P257" s="3">
        <v>0</v>
      </c>
      <c r="Q257">
        <v>12810</v>
      </c>
      <c r="R257">
        <v>9334.1200000000008</v>
      </c>
      <c r="S257">
        <v>3475.88</v>
      </c>
      <c r="T257" t="s">
        <v>41</v>
      </c>
      <c r="U257" t="s">
        <v>42</v>
      </c>
      <c r="V257" s="3">
        <f t="shared" si="27"/>
        <v>0</v>
      </c>
      <c r="W257">
        <f t="shared" si="28"/>
        <v>12810</v>
      </c>
      <c r="X257">
        <f t="shared" si="29"/>
        <v>3475.8799999999992</v>
      </c>
      <c r="Y257" s="4">
        <f t="shared" si="30"/>
        <v>0.27134113973458229</v>
      </c>
      <c r="Z257">
        <f t="shared" si="31"/>
        <v>6</v>
      </c>
      <c r="AA257">
        <f t="shared" si="32"/>
        <v>2</v>
      </c>
      <c r="AB257">
        <f t="shared" si="33"/>
        <v>2025</v>
      </c>
      <c r="AC257" t="str">
        <f t="shared" si="34"/>
        <v>Unique</v>
      </c>
      <c r="AD257" t="str">
        <f t="shared" si="35"/>
        <v>Clean</v>
      </c>
    </row>
    <row r="258" spans="1:30" x14ac:dyDescent="0.3">
      <c r="A258" t="s">
        <v>886</v>
      </c>
      <c r="B258" s="2">
        <v>45601</v>
      </c>
      <c r="C258" s="2">
        <v>45599</v>
      </c>
      <c r="D258" t="s">
        <v>887</v>
      </c>
      <c r="E258" t="s">
        <v>71</v>
      </c>
      <c r="F258" t="s">
        <v>33</v>
      </c>
      <c r="G258" t="s">
        <v>47</v>
      </c>
      <c r="H258" t="s">
        <v>108</v>
      </c>
      <c r="I258" t="s">
        <v>109</v>
      </c>
      <c r="J258" t="s">
        <v>50</v>
      </c>
      <c r="K258" t="s">
        <v>51</v>
      </c>
      <c r="L258" t="s">
        <v>888</v>
      </c>
      <c r="M258" t="s">
        <v>59</v>
      </c>
      <c r="N258">
        <v>9</v>
      </c>
      <c r="O258">
        <v>2260.61</v>
      </c>
      <c r="P258" s="3">
        <v>0.05</v>
      </c>
      <c r="Q258">
        <v>19328.22</v>
      </c>
      <c r="R258">
        <v>12039.5</v>
      </c>
      <c r="S258">
        <v>7288.72</v>
      </c>
      <c r="T258" t="s">
        <v>41</v>
      </c>
      <c r="U258" t="s">
        <v>42</v>
      </c>
      <c r="V258" s="3">
        <f t="shared" ref="V258:V321" si="36">IF(P258="",0,IF(ISNUMBER(P258),ABS(P258),IF(RIGHT(P258,1)="%",VALUE(LEFT(P258,LEN(P258)-1))/100,P258)))</f>
        <v>0.05</v>
      </c>
      <c r="W258">
        <f t="shared" ref="W258:W321" si="37">N258*O258*(1-V258)</f>
        <v>19328.215500000002</v>
      </c>
      <c r="X258">
        <f t="shared" ref="X258:X321" si="38">W258-R258</f>
        <v>7288.7155000000021</v>
      </c>
      <c r="Y258" s="4">
        <f t="shared" ref="Y258:Y321" si="39">IF(W258=0,0,X258/W258)</f>
        <v>0.3771023507058891</v>
      </c>
      <c r="Z258">
        <f t="shared" ref="Z258:Z321" si="40">C258-B258</f>
        <v>-2</v>
      </c>
      <c r="AA258">
        <f t="shared" ref="AA258:AA321" si="41">MONTH(B258)</f>
        <v>11</v>
      </c>
      <c r="AB258">
        <f t="shared" ref="AB258:AB321" si="42">YEAR(B258)</f>
        <v>2024</v>
      </c>
      <c r="AC258" t="str">
        <f t="shared" ref="AC258:AC321" si="43">IF(COUNTIF($A$2:$A$913,A258)&gt;1,"Conflict - Review","Unique")</f>
        <v>Unique</v>
      </c>
      <c r="AD258" t="str">
        <f t="shared" ref="AD258:AD321" si="44">IF(OR(C258&lt;B258,AND(ISNUMBER(P258),P258&lt;0),V258&gt;0.65,AC258="Conflict - Review"),"Invalid",IF(OR(G258="Unknown",M258="Unknown",T258="Failed",U258="Cancelled"),"Warning","Clean"))</f>
        <v>Invalid</v>
      </c>
    </row>
    <row r="259" spans="1:30" x14ac:dyDescent="0.3">
      <c r="A259" t="s">
        <v>889</v>
      </c>
      <c r="B259" s="2">
        <v>45878</v>
      </c>
      <c r="C259" s="2">
        <v>45881</v>
      </c>
      <c r="D259" t="s">
        <v>890</v>
      </c>
      <c r="E259" t="s">
        <v>171</v>
      </c>
      <c r="F259" t="s">
        <v>99</v>
      </c>
      <c r="G259" t="s">
        <v>63</v>
      </c>
      <c r="H259" t="s">
        <v>184</v>
      </c>
      <c r="I259" t="s">
        <v>185</v>
      </c>
      <c r="J259" t="s">
        <v>83</v>
      </c>
      <c r="K259" t="s">
        <v>84</v>
      </c>
      <c r="L259" t="s">
        <v>891</v>
      </c>
      <c r="M259" t="s">
        <v>40</v>
      </c>
      <c r="N259">
        <v>2</v>
      </c>
      <c r="O259">
        <v>3237.27</v>
      </c>
      <c r="P259" s="3">
        <v>0</v>
      </c>
      <c r="Q259">
        <v>6474.54</v>
      </c>
      <c r="R259">
        <v>5095.91</v>
      </c>
      <c r="S259">
        <v>1378.63</v>
      </c>
      <c r="T259" t="s">
        <v>41</v>
      </c>
      <c r="U259" t="s">
        <v>77</v>
      </c>
      <c r="V259" s="3">
        <f t="shared" si="36"/>
        <v>0</v>
      </c>
      <c r="W259">
        <f t="shared" si="37"/>
        <v>6474.54</v>
      </c>
      <c r="X259">
        <f t="shared" si="38"/>
        <v>1378.63</v>
      </c>
      <c r="Y259" s="4">
        <f t="shared" si="39"/>
        <v>0.21293095725719513</v>
      </c>
      <c r="Z259">
        <f t="shared" si="40"/>
        <v>3</v>
      </c>
      <c r="AA259">
        <f t="shared" si="41"/>
        <v>8</v>
      </c>
      <c r="AB259">
        <f t="shared" si="42"/>
        <v>2025</v>
      </c>
      <c r="AC259" t="str">
        <f t="shared" si="43"/>
        <v>Unique</v>
      </c>
      <c r="AD259" t="str">
        <f t="shared" si="44"/>
        <v>Warning</v>
      </c>
    </row>
    <row r="260" spans="1:30" x14ac:dyDescent="0.3">
      <c r="A260" t="s">
        <v>892</v>
      </c>
      <c r="B260" s="2">
        <v>45656</v>
      </c>
      <c r="C260" s="2">
        <v>45661</v>
      </c>
      <c r="D260" t="s">
        <v>893</v>
      </c>
      <c r="E260" t="s">
        <v>141</v>
      </c>
      <c r="F260" t="s">
        <v>99</v>
      </c>
      <c r="G260" t="s">
        <v>63</v>
      </c>
      <c r="H260" t="s">
        <v>257</v>
      </c>
      <c r="I260" t="s">
        <v>258</v>
      </c>
      <c r="J260" t="s">
        <v>50</v>
      </c>
      <c r="K260" t="s">
        <v>51</v>
      </c>
      <c r="L260" t="s">
        <v>894</v>
      </c>
      <c r="M260" t="s">
        <v>53</v>
      </c>
      <c r="N260">
        <v>2</v>
      </c>
      <c r="O260">
        <v>3720.07</v>
      </c>
      <c r="P260" s="3">
        <v>0.25</v>
      </c>
      <c r="Q260">
        <v>5580.11</v>
      </c>
      <c r="R260">
        <v>4307.01</v>
      </c>
      <c r="S260">
        <v>1273.0999999999999</v>
      </c>
      <c r="T260" t="s">
        <v>41</v>
      </c>
      <c r="U260" t="s">
        <v>42</v>
      </c>
      <c r="V260" s="3">
        <f t="shared" si="36"/>
        <v>0.25</v>
      </c>
      <c r="W260">
        <f t="shared" si="37"/>
        <v>5580.1050000000005</v>
      </c>
      <c r="X260">
        <f t="shared" si="38"/>
        <v>1273.0950000000003</v>
      </c>
      <c r="Y260" s="4">
        <f t="shared" si="39"/>
        <v>0.22814893268137429</v>
      </c>
      <c r="Z260">
        <f t="shared" si="40"/>
        <v>5</v>
      </c>
      <c r="AA260">
        <f t="shared" si="41"/>
        <v>12</v>
      </c>
      <c r="AB260">
        <f t="shared" si="42"/>
        <v>2024</v>
      </c>
      <c r="AC260" t="str">
        <f t="shared" si="43"/>
        <v>Unique</v>
      </c>
      <c r="AD260" t="str">
        <f t="shared" si="44"/>
        <v>Clean</v>
      </c>
    </row>
    <row r="261" spans="1:30" x14ac:dyDescent="0.3">
      <c r="A261" t="s">
        <v>895</v>
      </c>
      <c r="B261" s="2">
        <v>45464</v>
      </c>
      <c r="C261" s="2">
        <v>45472</v>
      </c>
      <c r="D261" t="s">
        <v>896</v>
      </c>
      <c r="E261" t="s">
        <v>88</v>
      </c>
      <c r="F261" t="s">
        <v>33</v>
      </c>
      <c r="G261" t="s">
        <v>63</v>
      </c>
      <c r="H261" t="s">
        <v>257</v>
      </c>
      <c r="I261" t="s">
        <v>258</v>
      </c>
      <c r="J261" t="s">
        <v>83</v>
      </c>
      <c r="K261" t="s">
        <v>284</v>
      </c>
      <c r="L261" t="s">
        <v>897</v>
      </c>
      <c r="M261" t="s">
        <v>68</v>
      </c>
      <c r="N261">
        <v>8</v>
      </c>
      <c r="O261">
        <v>2853.92</v>
      </c>
      <c r="P261" s="3">
        <v>0.2</v>
      </c>
      <c r="Q261">
        <v>18265.09</v>
      </c>
      <c r="R261">
        <v>10437.14</v>
      </c>
      <c r="S261">
        <v>7827.95</v>
      </c>
      <c r="T261" t="s">
        <v>41</v>
      </c>
      <c r="U261" t="s">
        <v>42</v>
      </c>
      <c r="V261" s="3">
        <f t="shared" si="36"/>
        <v>0.2</v>
      </c>
      <c r="W261">
        <f t="shared" si="37"/>
        <v>18265.088</v>
      </c>
      <c r="X261">
        <f t="shared" si="38"/>
        <v>7827.9480000000003</v>
      </c>
      <c r="Y261" s="4">
        <f t="shared" si="39"/>
        <v>0.42857433810338064</v>
      </c>
      <c r="Z261">
        <f t="shared" si="40"/>
        <v>8</v>
      </c>
      <c r="AA261">
        <f t="shared" si="41"/>
        <v>6</v>
      </c>
      <c r="AB261">
        <f t="shared" si="42"/>
        <v>2024</v>
      </c>
      <c r="AC261" t="str">
        <f t="shared" si="43"/>
        <v>Unique</v>
      </c>
      <c r="AD261" t="str">
        <f t="shared" si="44"/>
        <v>Clean</v>
      </c>
    </row>
    <row r="262" spans="1:30" x14ac:dyDescent="0.3">
      <c r="A262" t="s">
        <v>898</v>
      </c>
      <c r="B262" s="2">
        <v>45923</v>
      </c>
      <c r="C262" s="2">
        <v>45927</v>
      </c>
      <c r="D262" t="s">
        <v>899</v>
      </c>
      <c r="E262" t="s">
        <v>98</v>
      </c>
      <c r="F262" t="s">
        <v>99</v>
      </c>
      <c r="G262" t="s">
        <v>47</v>
      </c>
      <c r="H262" t="s">
        <v>108</v>
      </c>
      <c r="I262" t="s">
        <v>109</v>
      </c>
      <c r="J262" t="s">
        <v>37</v>
      </c>
      <c r="K262" t="s">
        <v>162</v>
      </c>
      <c r="L262" t="s">
        <v>900</v>
      </c>
      <c r="M262" t="s">
        <v>53</v>
      </c>
      <c r="N262">
        <v>7</v>
      </c>
      <c r="O262">
        <v>2897.12</v>
      </c>
      <c r="P262" s="3">
        <v>0.25</v>
      </c>
      <c r="Q262">
        <v>15209.88</v>
      </c>
      <c r="R262">
        <v>10891.15</v>
      </c>
      <c r="S262">
        <v>4318.7299999999996</v>
      </c>
      <c r="T262" t="s">
        <v>164</v>
      </c>
      <c r="U262" t="s">
        <v>112</v>
      </c>
      <c r="V262" s="3">
        <f t="shared" si="36"/>
        <v>0.25</v>
      </c>
      <c r="W262">
        <f t="shared" si="37"/>
        <v>15209.880000000001</v>
      </c>
      <c r="X262">
        <f t="shared" si="38"/>
        <v>4318.7300000000014</v>
      </c>
      <c r="Y262" s="4">
        <f t="shared" si="39"/>
        <v>0.28394241111698454</v>
      </c>
      <c r="Z262">
        <f t="shared" si="40"/>
        <v>4</v>
      </c>
      <c r="AA262">
        <f t="shared" si="41"/>
        <v>9</v>
      </c>
      <c r="AB262">
        <f t="shared" si="42"/>
        <v>2025</v>
      </c>
      <c r="AC262" t="str">
        <f t="shared" si="43"/>
        <v>Unique</v>
      </c>
      <c r="AD262" t="str">
        <f t="shared" si="44"/>
        <v>Warning</v>
      </c>
    </row>
    <row r="263" spans="1:30" x14ac:dyDescent="0.3">
      <c r="A263" t="s">
        <v>901</v>
      </c>
      <c r="B263" s="2">
        <v>45826</v>
      </c>
      <c r="C263" s="2">
        <v>45832</v>
      </c>
      <c r="D263" t="s">
        <v>902</v>
      </c>
      <c r="E263" t="s">
        <v>141</v>
      </c>
      <c r="F263" t="s">
        <v>99</v>
      </c>
      <c r="G263" t="s">
        <v>34</v>
      </c>
      <c r="H263" t="s">
        <v>35</v>
      </c>
      <c r="I263" t="s">
        <v>36</v>
      </c>
      <c r="J263" t="s">
        <v>37</v>
      </c>
      <c r="K263" t="s">
        <v>100</v>
      </c>
      <c r="L263" t="s">
        <v>903</v>
      </c>
      <c r="M263" t="s">
        <v>68</v>
      </c>
      <c r="N263">
        <v>3</v>
      </c>
      <c r="O263">
        <v>686.74</v>
      </c>
      <c r="P263" s="3">
        <v>0.2</v>
      </c>
      <c r="Q263">
        <v>1648.18</v>
      </c>
      <c r="R263">
        <v>987.91</v>
      </c>
      <c r="S263">
        <v>660.27</v>
      </c>
      <c r="T263" t="s">
        <v>164</v>
      </c>
      <c r="U263" t="s">
        <v>77</v>
      </c>
      <c r="V263" s="3">
        <f t="shared" si="36"/>
        <v>0.2</v>
      </c>
      <c r="W263">
        <f t="shared" si="37"/>
        <v>1648.1760000000004</v>
      </c>
      <c r="X263">
        <f t="shared" si="38"/>
        <v>660.26600000000042</v>
      </c>
      <c r="Y263" s="4">
        <f t="shared" si="39"/>
        <v>0.40060406170214846</v>
      </c>
      <c r="Z263">
        <f t="shared" si="40"/>
        <v>6</v>
      </c>
      <c r="AA263">
        <f t="shared" si="41"/>
        <v>6</v>
      </c>
      <c r="AB263">
        <f t="shared" si="42"/>
        <v>2025</v>
      </c>
      <c r="AC263" t="str">
        <f t="shared" si="43"/>
        <v>Unique</v>
      </c>
      <c r="AD263" t="str">
        <f t="shared" si="44"/>
        <v>Warning</v>
      </c>
    </row>
    <row r="264" spans="1:30" x14ac:dyDescent="0.3">
      <c r="A264" t="s">
        <v>904</v>
      </c>
      <c r="B264" s="2">
        <v>45803</v>
      </c>
      <c r="C264" s="2">
        <v>45809</v>
      </c>
      <c r="D264" t="s">
        <v>639</v>
      </c>
      <c r="E264" t="s">
        <v>62</v>
      </c>
      <c r="F264" t="s">
        <v>46</v>
      </c>
      <c r="G264" t="s">
        <v>34</v>
      </c>
      <c r="H264" t="s">
        <v>360</v>
      </c>
      <c r="I264" t="s">
        <v>361</v>
      </c>
      <c r="J264" t="s">
        <v>83</v>
      </c>
      <c r="K264" t="s">
        <v>180</v>
      </c>
      <c r="L264" t="s">
        <v>905</v>
      </c>
      <c r="M264" t="s">
        <v>53</v>
      </c>
      <c r="N264">
        <v>4</v>
      </c>
      <c r="O264">
        <v>3349.86</v>
      </c>
      <c r="P264" s="3">
        <v>0</v>
      </c>
      <c r="Q264">
        <v>13399.44</v>
      </c>
      <c r="R264">
        <v>8581.35</v>
      </c>
      <c r="S264">
        <v>4818.09</v>
      </c>
      <c r="T264" t="s">
        <v>120</v>
      </c>
      <c r="U264" t="s">
        <v>112</v>
      </c>
      <c r="V264" s="3">
        <f t="shared" si="36"/>
        <v>0</v>
      </c>
      <c r="W264">
        <f t="shared" si="37"/>
        <v>13399.44</v>
      </c>
      <c r="X264">
        <f t="shared" si="38"/>
        <v>4818.09</v>
      </c>
      <c r="Y264" s="4">
        <f t="shared" si="39"/>
        <v>0.3595739821962709</v>
      </c>
      <c r="Z264">
        <f t="shared" si="40"/>
        <v>6</v>
      </c>
      <c r="AA264">
        <f t="shared" si="41"/>
        <v>5</v>
      </c>
      <c r="AB264">
        <f t="shared" si="42"/>
        <v>2025</v>
      </c>
      <c r="AC264" t="str">
        <f t="shared" si="43"/>
        <v>Unique</v>
      </c>
      <c r="AD264" t="str">
        <f t="shared" si="44"/>
        <v>Clean</v>
      </c>
    </row>
    <row r="265" spans="1:30" x14ac:dyDescent="0.3">
      <c r="A265" t="s">
        <v>906</v>
      </c>
      <c r="B265" s="2">
        <v>45875</v>
      </c>
      <c r="C265" s="2">
        <v>45879</v>
      </c>
      <c r="D265" t="s">
        <v>907</v>
      </c>
      <c r="E265" t="s">
        <v>150</v>
      </c>
      <c r="F265" t="s">
        <v>46</v>
      </c>
      <c r="G265" t="s">
        <v>34</v>
      </c>
      <c r="H265" t="s">
        <v>360</v>
      </c>
      <c r="I265" t="s">
        <v>361</v>
      </c>
      <c r="J265" t="s">
        <v>37</v>
      </c>
      <c r="K265" t="s">
        <v>162</v>
      </c>
      <c r="L265" t="s">
        <v>908</v>
      </c>
      <c r="M265" t="s">
        <v>40</v>
      </c>
      <c r="N265">
        <v>9</v>
      </c>
      <c r="O265">
        <v>4042.45</v>
      </c>
      <c r="P265" s="3">
        <v>0.1</v>
      </c>
      <c r="Q265">
        <v>32743.84</v>
      </c>
      <c r="R265">
        <v>22452.05</v>
      </c>
      <c r="S265">
        <v>10291.790000000001</v>
      </c>
      <c r="T265" t="s">
        <v>120</v>
      </c>
      <c r="U265" t="s">
        <v>112</v>
      </c>
      <c r="V265" s="3">
        <f t="shared" si="36"/>
        <v>0.1</v>
      </c>
      <c r="W265">
        <f t="shared" si="37"/>
        <v>32743.844999999998</v>
      </c>
      <c r="X265">
        <f t="shared" si="38"/>
        <v>10291.794999999998</v>
      </c>
      <c r="Y265" s="4">
        <f t="shared" si="39"/>
        <v>0.314312353970647</v>
      </c>
      <c r="Z265">
        <f t="shared" si="40"/>
        <v>4</v>
      </c>
      <c r="AA265">
        <f t="shared" si="41"/>
        <v>8</v>
      </c>
      <c r="AB265">
        <f t="shared" si="42"/>
        <v>2025</v>
      </c>
      <c r="AC265" t="str">
        <f t="shared" si="43"/>
        <v>Unique</v>
      </c>
      <c r="AD265" t="str">
        <f t="shared" si="44"/>
        <v>Clean</v>
      </c>
    </row>
    <row r="266" spans="1:30" x14ac:dyDescent="0.3">
      <c r="A266" t="s">
        <v>909</v>
      </c>
      <c r="B266" s="2">
        <v>45428</v>
      </c>
      <c r="C266" s="2">
        <v>45433</v>
      </c>
      <c r="D266" t="s">
        <v>910</v>
      </c>
      <c r="E266" t="s">
        <v>171</v>
      </c>
      <c r="F266" t="s">
        <v>46</v>
      </c>
      <c r="G266" t="s">
        <v>47</v>
      </c>
      <c r="H266" t="s">
        <v>154</v>
      </c>
      <c r="I266" t="s">
        <v>155</v>
      </c>
      <c r="J266" t="s">
        <v>83</v>
      </c>
      <c r="K266" t="s">
        <v>89</v>
      </c>
      <c r="L266" t="s">
        <v>911</v>
      </c>
      <c r="M266" t="s">
        <v>68</v>
      </c>
      <c r="N266">
        <v>4</v>
      </c>
      <c r="O266">
        <v>1503.07</v>
      </c>
      <c r="P266" s="3">
        <v>0</v>
      </c>
      <c r="Q266">
        <v>6012.28</v>
      </c>
      <c r="R266">
        <v>3927.64</v>
      </c>
      <c r="S266">
        <v>2084.64</v>
      </c>
      <c r="T266" t="s">
        <v>41</v>
      </c>
      <c r="U266" t="s">
        <v>42</v>
      </c>
      <c r="V266" s="3">
        <f t="shared" si="36"/>
        <v>0</v>
      </c>
      <c r="W266">
        <f t="shared" si="37"/>
        <v>6012.28</v>
      </c>
      <c r="X266">
        <f t="shared" si="38"/>
        <v>2084.64</v>
      </c>
      <c r="Y266" s="4">
        <f t="shared" si="39"/>
        <v>0.34673035853286938</v>
      </c>
      <c r="Z266">
        <f t="shared" si="40"/>
        <v>5</v>
      </c>
      <c r="AA266">
        <f t="shared" si="41"/>
        <v>5</v>
      </c>
      <c r="AB266">
        <f t="shared" si="42"/>
        <v>2024</v>
      </c>
      <c r="AC266" t="str">
        <f t="shared" si="43"/>
        <v>Unique</v>
      </c>
      <c r="AD266" t="str">
        <f t="shared" si="44"/>
        <v>Clean</v>
      </c>
    </row>
    <row r="267" spans="1:30" x14ac:dyDescent="0.3">
      <c r="A267" t="s">
        <v>912</v>
      </c>
      <c r="B267" s="2">
        <v>45610</v>
      </c>
      <c r="C267" s="2">
        <v>45618</v>
      </c>
      <c r="D267" t="s">
        <v>913</v>
      </c>
      <c r="E267" t="s">
        <v>123</v>
      </c>
      <c r="F267" t="s">
        <v>99</v>
      </c>
      <c r="G267" t="s">
        <v>47</v>
      </c>
      <c r="H267" t="s">
        <v>154</v>
      </c>
      <c r="I267" t="s">
        <v>155</v>
      </c>
      <c r="J267" t="s">
        <v>50</v>
      </c>
      <c r="K267" t="s">
        <v>167</v>
      </c>
      <c r="L267" t="s">
        <v>914</v>
      </c>
      <c r="M267" t="s">
        <v>53</v>
      </c>
      <c r="N267">
        <v>1</v>
      </c>
      <c r="O267">
        <v>582.37</v>
      </c>
      <c r="P267" s="3">
        <v>0.15</v>
      </c>
      <c r="Q267">
        <v>495.01</v>
      </c>
      <c r="R267">
        <v>285.13</v>
      </c>
      <c r="S267">
        <v>209.88</v>
      </c>
      <c r="T267" t="s">
        <v>111</v>
      </c>
      <c r="U267" t="s">
        <v>77</v>
      </c>
      <c r="V267" s="3">
        <f t="shared" si="36"/>
        <v>0.15</v>
      </c>
      <c r="W267">
        <f t="shared" si="37"/>
        <v>495.0145</v>
      </c>
      <c r="X267">
        <f t="shared" si="38"/>
        <v>209.8845</v>
      </c>
      <c r="Y267" s="4">
        <f t="shared" si="39"/>
        <v>0.42399667080459258</v>
      </c>
      <c r="Z267">
        <f t="shared" si="40"/>
        <v>8</v>
      </c>
      <c r="AA267">
        <f t="shared" si="41"/>
        <v>11</v>
      </c>
      <c r="AB267">
        <f t="shared" si="42"/>
        <v>2024</v>
      </c>
      <c r="AC267" t="str">
        <f t="shared" si="43"/>
        <v>Unique</v>
      </c>
      <c r="AD267" t="str">
        <f t="shared" si="44"/>
        <v>Warning</v>
      </c>
    </row>
    <row r="268" spans="1:30" x14ac:dyDescent="0.3">
      <c r="A268" t="s">
        <v>915</v>
      </c>
      <c r="B268" s="2">
        <v>45780</v>
      </c>
      <c r="C268" s="2">
        <v>45787</v>
      </c>
      <c r="D268" t="s">
        <v>916</v>
      </c>
      <c r="E268" t="s">
        <v>88</v>
      </c>
      <c r="F268" t="s">
        <v>104</v>
      </c>
      <c r="G268" t="s">
        <v>72</v>
      </c>
      <c r="H268" t="s">
        <v>73</v>
      </c>
      <c r="I268" t="s">
        <v>74</v>
      </c>
      <c r="J268" t="s">
        <v>37</v>
      </c>
      <c r="K268" t="s">
        <v>133</v>
      </c>
      <c r="L268" t="s">
        <v>917</v>
      </c>
      <c r="M268" t="s">
        <v>40</v>
      </c>
      <c r="N268">
        <v>3</v>
      </c>
      <c r="O268">
        <v>4339.24</v>
      </c>
      <c r="P268" s="3">
        <v>0</v>
      </c>
      <c r="Q268">
        <v>13017.72</v>
      </c>
      <c r="R268">
        <v>10170.57</v>
      </c>
      <c r="S268">
        <v>2847.15</v>
      </c>
      <c r="T268" t="s">
        <v>41</v>
      </c>
      <c r="U268" t="s">
        <v>42</v>
      </c>
      <c r="V268" s="3">
        <f t="shared" si="36"/>
        <v>0</v>
      </c>
      <c r="W268">
        <f t="shared" si="37"/>
        <v>13017.72</v>
      </c>
      <c r="X268">
        <f t="shared" si="38"/>
        <v>2847.1499999999996</v>
      </c>
      <c r="Y268" s="4">
        <f t="shared" si="39"/>
        <v>0.21871341525244051</v>
      </c>
      <c r="Z268">
        <f t="shared" si="40"/>
        <v>7</v>
      </c>
      <c r="AA268">
        <f t="shared" si="41"/>
        <v>5</v>
      </c>
      <c r="AB268">
        <f t="shared" si="42"/>
        <v>2025</v>
      </c>
      <c r="AC268" t="str">
        <f t="shared" si="43"/>
        <v>Unique</v>
      </c>
      <c r="AD268" t="str">
        <f t="shared" si="44"/>
        <v>Clean</v>
      </c>
    </row>
    <row r="269" spans="1:30" x14ac:dyDescent="0.3">
      <c r="A269" t="s">
        <v>918</v>
      </c>
      <c r="B269" s="2">
        <v>45805</v>
      </c>
      <c r="C269" s="2">
        <v>45812</v>
      </c>
      <c r="D269" t="s">
        <v>919</v>
      </c>
      <c r="E269" t="s">
        <v>171</v>
      </c>
      <c r="F269" t="s">
        <v>99</v>
      </c>
      <c r="G269" t="s">
        <v>47</v>
      </c>
      <c r="H269" t="s">
        <v>238</v>
      </c>
      <c r="I269" t="s">
        <v>239</v>
      </c>
      <c r="J269" t="s">
        <v>50</v>
      </c>
      <c r="K269" t="s">
        <v>66</v>
      </c>
      <c r="L269" t="s">
        <v>920</v>
      </c>
      <c r="M269" t="s">
        <v>59</v>
      </c>
      <c r="N269">
        <v>4</v>
      </c>
      <c r="O269">
        <v>261.8</v>
      </c>
      <c r="P269" s="3">
        <v>0.25</v>
      </c>
      <c r="Q269">
        <v>785.4</v>
      </c>
      <c r="R269">
        <v>557.22</v>
      </c>
      <c r="S269">
        <v>228.18</v>
      </c>
      <c r="T269" t="s">
        <v>41</v>
      </c>
      <c r="U269" t="s">
        <v>42</v>
      </c>
      <c r="V269" s="3">
        <f t="shared" si="36"/>
        <v>0.25</v>
      </c>
      <c r="W269">
        <f t="shared" si="37"/>
        <v>785.40000000000009</v>
      </c>
      <c r="X269">
        <f t="shared" si="38"/>
        <v>228.18000000000006</v>
      </c>
      <c r="Y269" s="4">
        <f t="shared" si="39"/>
        <v>0.29052711993888469</v>
      </c>
      <c r="Z269">
        <f t="shared" si="40"/>
        <v>7</v>
      </c>
      <c r="AA269">
        <f t="shared" si="41"/>
        <v>5</v>
      </c>
      <c r="AB269">
        <f t="shared" si="42"/>
        <v>2025</v>
      </c>
      <c r="AC269" t="str">
        <f t="shared" si="43"/>
        <v>Unique</v>
      </c>
      <c r="AD269" t="str">
        <f t="shared" si="44"/>
        <v>Clean</v>
      </c>
    </row>
    <row r="270" spans="1:30" x14ac:dyDescent="0.3">
      <c r="A270" t="s">
        <v>921</v>
      </c>
      <c r="B270" s="2">
        <v>45886</v>
      </c>
      <c r="C270" s="2">
        <v>45886</v>
      </c>
      <c r="D270" t="s">
        <v>922</v>
      </c>
      <c r="E270" t="s">
        <v>137</v>
      </c>
      <c r="F270" t="s">
        <v>104</v>
      </c>
      <c r="G270" t="s">
        <v>34</v>
      </c>
      <c r="H270" t="s">
        <v>131</v>
      </c>
      <c r="I270" t="s">
        <v>132</v>
      </c>
      <c r="J270" t="s">
        <v>83</v>
      </c>
      <c r="K270" t="s">
        <v>84</v>
      </c>
      <c r="L270" t="s">
        <v>923</v>
      </c>
      <c r="M270" t="s">
        <v>59</v>
      </c>
      <c r="N270">
        <v>7</v>
      </c>
      <c r="O270">
        <v>632.20000000000005</v>
      </c>
      <c r="P270" s="3">
        <v>0.25</v>
      </c>
      <c r="Q270">
        <v>3319.05</v>
      </c>
      <c r="R270">
        <v>2124.6</v>
      </c>
      <c r="S270">
        <v>1194.45</v>
      </c>
      <c r="T270" t="s">
        <v>41</v>
      </c>
      <c r="U270" t="s">
        <v>42</v>
      </c>
      <c r="V270" s="3">
        <f t="shared" si="36"/>
        <v>0.25</v>
      </c>
      <c r="W270">
        <f t="shared" si="37"/>
        <v>3319.05</v>
      </c>
      <c r="X270">
        <f t="shared" si="38"/>
        <v>1194.4500000000003</v>
      </c>
      <c r="Y270" s="4">
        <f t="shared" si="39"/>
        <v>0.35987707325891449</v>
      </c>
      <c r="Z270">
        <f t="shared" si="40"/>
        <v>0</v>
      </c>
      <c r="AA270">
        <f t="shared" si="41"/>
        <v>8</v>
      </c>
      <c r="AB270">
        <f t="shared" si="42"/>
        <v>2025</v>
      </c>
      <c r="AC270" t="str">
        <f t="shared" si="43"/>
        <v>Unique</v>
      </c>
      <c r="AD270" t="str">
        <f t="shared" si="44"/>
        <v>Clean</v>
      </c>
    </row>
    <row r="271" spans="1:30" x14ac:dyDescent="0.3">
      <c r="A271" t="s">
        <v>924</v>
      </c>
      <c r="B271" s="2">
        <v>45698</v>
      </c>
      <c r="C271" s="2">
        <v>45700</v>
      </c>
      <c r="D271" t="s">
        <v>925</v>
      </c>
      <c r="E271" t="s">
        <v>127</v>
      </c>
      <c r="F271" t="s">
        <v>46</v>
      </c>
      <c r="G271" t="s">
        <v>72</v>
      </c>
      <c r="H271" t="s">
        <v>35</v>
      </c>
      <c r="I271" t="s">
        <v>118</v>
      </c>
      <c r="J271" t="s">
        <v>50</v>
      </c>
      <c r="K271" t="s">
        <v>51</v>
      </c>
      <c r="L271" t="s">
        <v>926</v>
      </c>
      <c r="M271" t="s">
        <v>53</v>
      </c>
      <c r="N271">
        <v>1</v>
      </c>
      <c r="O271">
        <v>1925.86</v>
      </c>
      <c r="P271" s="3">
        <v>0</v>
      </c>
      <c r="Q271">
        <v>1925.86</v>
      </c>
      <c r="R271">
        <v>1321.89</v>
      </c>
      <c r="S271">
        <v>603.97</v>
      </c>
      <c r="T271" t="s">
        <v>41</v>
      </c>
      <c r="U271" t="s">
        <v>42</v>
      </c>
      <c r="V271" s="3">
        <f t="shared" si="36"/>
        <v>0</v>
      </c>
      <c r="W271">
        <f t="shared" si="37"/>
        <v>1925.86</v>
      </c>
      <c r="X271">
        <f t="shared" si="38"/>
        <v>603.9699999999998</v>
      </c>
      <c r="Y271" s="4">
        <f t="shared" si="39"/>
        <v>0.31361054282242729</v>
      </c>
      <c r="Z271">
        <f t="shared" si="40"/>
        <v>2</v>
      </c>
      <c r="AA271">
        <f t="shared" si="41"/>
        <v>2</v>
      </c>
      <c r="AB271">
        <f t="shared" si="42"/>
        <v>2025</v>
      </c>
      <c r="AC271" t="str">
        <f t="shared" si="43"/>
        <v>Unique</v>
      </c>
      <c r="AD271" t="str">
        <f t="shared" si="44"/>
        <v>Clean</v>
      </c>
    </row>
    <row r="272" spans="1:30" x14ac:dyDescent="0.3">
      <c r="A272" t="s">
        <v>927</v>
      </c>
      <c r="B272" s="2">
        <v>45303</v>
      </c>
      <c r="C272" s="2">
        <v>45304</v>
      </c>
      <c r="D272" t="s">
        <v>928</v>
      </c>
      <c r="E272" t="s">
        <v>98</v>
      </c>
      <c r="F272" t="s">
        <v>99</v>
      </c>
      <c r="G272" t="s">
        <v>34</v>
      </c>
      <c r="H272" t="s">
        <v>145</v>
      </c>
      <c r="I272" t="s">
        <v>146</v>
      </c>
      <c r="J272" t="s">
        <v>83</v>
      </c>
      <c r="K272" t="s">
        <v>284</v>
      </c>
      <c r="L272" t="s">
        <v>929</v>
      </c>
      <c r="M272" t="s">
        <v>53</v>
      </c>
      <c r="N272">
        <v>3</v>
      </c>
      <c r="O272">
        <v>827.44</v>
      </c>
      <c r="P272" s="3">
        <v>0</v>
      </c>
      <c r="Q272">
        <v>2482.3200000000002</v>
      </c>
      <c r="R272">
        <v>1520.21</v>
      </c>
      <c r="S272">
        <v>962.11</v>
      </c>
      <c r="T272" t="s">
        <v>41</v>
      </c>
      <c r="U272" t="s">
        <v>42</v>
      </c>
      <c r="V272" s="3">
        <f t="shared" si="36"/>
        <v>0</v>
      </c>
      <c r="W272">
        <f t="shared" si="37"/>
        <v>2482.3200000000002</v>
      </c>
      <c r="X272">
        <f t="shared" si="38"/>
        <v>962.11000000000013</v>
      </c>
      <c r="Y272" s="4">
        <f t="shared" si="39"/>
        <v>0.38758500112797706</v>
      </c>
      <c r="Z272">
        <f t="shared" si="40"/>
        <v>1</v>
      </c>
      <c r="AA272">
        <f t="shared" si="41"/>
        <v>1</v>
      </c>
      <c r="AB272">
        <f t="shared" si="42"/>
        <v>2024</v>
      </c>
      <c r="AC272" t="str">
        <f t="shared" si="43"/>
        <v>Unique</v>
      </c>
      <c r="AD272" t="str">
        <f t="shared" si="44"/>
        <v>Clean</v>
      </c>
    </row>
    <row r="273" spans="1:30" x14ac:dyDescent="0.3">
      <c r="A273" t="s">
        <v>930</v>
      </c>
      <c r="B273" s="2">
        <v>45647</v>
      </c>
      <c r="C273" s="2">
        <v>45651</v>
      </c>
      <c r="D273" t="s">
        <v>931</v>
      </c>
      <c r="E273" t="s">
        <v>98</v>
      </c>
      <c r="F273" t="s">
        <v>33</v>
      </c>
      <c r="G273" t="s">
        <v>63</v>
      </c>
      <c r="H273" t="s">
        <v>64</v>
      </c>
      <c r="I273" t="s">
        <v>65</v>
      </c>
      <c r="J273" t="s">
        <v>37</v>
      </c>
      <c r="K273" t="s">
        <v>162</v>
      </c>
      <c r="L273" t="s">
        <v>932</v>
      </c>
      <c r="M273" t="s">
        <v>68</v>
      </c>
      <c r="N273">
        <v>7</v>
      </c>
      <c r="O273">
        <v>1667.75</v>
      </c>
      <c r="P273" s="3">
        <v>0</v>
      </c>
      <c r="Q273">
        <v>11674.25</v>
      </c>
      <c r="R273">
        <v>9621.19</v>
      </c>
      <c r="S273">
        <v>2053.06</v>
      </c>
      <c r="T273" t="s">
        <v>164</v>
      </c>
      <c r="U273" t="s">
        <v>77</v>
      </c>
      <c r="V273" s="3">
        <f t="shared" si="36"/>
        <v>0</v>
      </c>
      <c r="W273">
        <f t="shared" si="37"/>
        <v>11674.25</v>
      </c>
      <c r="X273">
        <f t="shared" si="38"/>
        <v>2053.0599999999995</v>
      </c>
      <c r="Y273" s="4">
        <f t="shared" si="39"/>
        <v>0.17586226095894808</v>
      </c>
      <c r="Z273">
        <f t="shared" si="40"/>
        <v>4</v>
      </c>
      <c r="AA273">
        <f t="shared" si="41"/>
        <v>12</v>
      </c>
      <c r="AB273">
        <f t="shared" si="42"/>
        <v>2024</v>
      </c>
      <c r="AC273" t="str">
        <f t="shared" si="43"/>
        <v>Unique</v>
      </c>
      <c r="AD273" t="str">
        <f t="shared" si="44"/>
        <v>Warning</v>
      </c>
    </row>
    <row r="274" spans="1:30" x14ac:dyDescent="0.3">
      <c r="A274" t="s">
        <v>933</v>
      </c>
      <c r="B274" s="2">
        <v>45522</v>
      </c>
      <c r="C274" s="2">
        <v>45528</v>
      </c>
      <c r="D274" t="s">
        <v>934</v>
      </c>
      <c r="E274" t="s">
        <v>62</v>
      </c>
      <c r="F274" t="s">
        <v>33</v>
      </c>
      <c r="G274" t="s">
        <v>63</v>
      </c>
      <c r="H274" t="s">
        <v>93</v>
      </c>
      <c r="I274" t="s">
        <v>94</v>
      </c>
      <c r="J274" t="s">
        <v>50</v>
      </c>
      <c r="K274" t="s">
        <v>75</v>
      </c>
      <c r="L274" t="s">
        <v>935</v>
      </c>
      <c r="M274" t="s">
        <v>59</v>
      </c>
      <c r="N274">
        <v>7</v>
      </c>
      <c r="O274">
        <v>557.21</v>
      </c>
      <c r="P274" s="3">
        <v>0.1</v>
      </c>
      <c r="Q274">
        <v>3510.42</v>
      </c>
      <c r="R274">
        <v>2191.5</v>
      </c>
      <c r="S274">
        <v>1213.48</v>
      </c>
      <c r="T274" t="s">
        <v>41</v>
      </c>
      <c r="U274" t="s">
        <v>42</v>
      </c>
      <c r="V274" s="3">
        <f t="shared" si="36"/>
        <v>0.1</v>
      </c>
      <c r="W274">
        <f t="shared" si="37"/>
        <v>3510.4230000000002</v>
      </c>
      <c r="X274">
        <f t="shared" si="38"/>
        <v>1318.9230000000002</v>
      </c>
      <c r="Y274" s="4">
        <f t="shared" si="39"/>
        <v>0.37571625983535323</v>
      </c>
      <c r="Z274">
        <f t="shared" si="40"/>
        <v>6</v>
      </c>
      <c r="AA274">
        <f t="shared" si="41"/>
        <v>8</v>
      </c>
      <c r="AB274">
        <f t="shared" si="42"/>
        <v>2024</v>
      </c>
      <c r="AC274" t="str">
        <f t="shared" si="43"/>
        <v>Conflict - Review</v>
      </c>
      <c r="AD274" t="str">
        <f t="shared" si="44"/>
        <v>Invalid</v>
      </c>
    </row>
    <row r="275" spans="1:30" x14ac:dyDescent="0.3">
      <c r="A275" t="s">
        <v>936</v>
      </c>
      <c r="B275" s="2">
        <v>45701</v>
      </c>
      <c r="C275" s="2">
        <v>45701</v>
      </c>
      <c r="D275" t="s">
        <v>937</v>
      </c>
      <c r="E275" t="s">
        <v>56</v>
      </c>
      <c r="F275" t="s">
        <v>33</v>
      </c>
      <c r="G275" t="s">
        <v>47</v>
      </c>
      <c r="H275" t="s">
        <v>154</v>
      </c>
      <c r="I275" t="s">
        <v>155</v>
      </c>
      <c r="J275" t="s">
        <v>37</v>
      </c>
      <c r="K275" t="s">
        <v>38</v>
      </c>
      <c r="L275" t="s">
        <v>938</v>
      </c>
      <c r="M275" t="s">
        <v>40</v>
      </c>
      <c r="N275">
        <v>9</v>
      </c>
      <c r="O275">
        <v>2521.63</v>
      </c>
      <c r="P275" s="3">
        <v>0</v>
      </c>
      <c r="Q275">
        <v>22694.67</v>
      </c>
      <c r="R275">
        <v>15405.36</v>
      </c>
      <c r="S275">
        <v>7289.31</v>
      </c>
      <c r="T275" t="s">
        <v>41</v>
      </c>
      <c r="U275" t="s">
        <v>112</v>
      </c>
      <c r="V275" s="3">
        <f t="shared" si="36"/>
        <v>0</v>
      </c>
      <c r="W275">
        <f t="shared" si="37"/>
        <v>22694.670000000002</v>
      </c>
      <c r="X275">
        <f t="shared" si="38"/>
        <v>7289.3100000000013</v>
      </c>
      <c r="Y275" s="4">
        <f t="shared" si="39"/>
        <v>0.32119039404406413</v>
      </c>
      <c r="Z275">
        <f t="shared" si="40"/>
        <v>0</v>
      </c>
      <c r="AA275">
        <f t="shared" si="41"/>
        <v>2</v>
      </c>
      <c r="AB275">
        <f t="shared" si="42"/>
        <v>2025</v>
      </c>
      <c r="AC275" t="str">
        <f t="shared" si="43"/>
        <v>Unique</v>
      </c>
      <c r="AD275" t="str">
        <f t="shared" si="44"/>
        <v>Clean</v>
      </c>
    </row>
    <row r="276" spans="1:30" x14ac:dyDescent="0.3">
      <c r="A276" t="s">
        <v>939</v>
      </c>
      <c r="B276" s="2">
        <v>45389</v>
      </c>
      <c r="C276" s="2">
        <v>45396</v>
      </c>
      <c r="D276" t="s">
        <v>940</v>
      </c>
      <c r="E276" t="s">
        <v>150</v>
      </c>
      <c r="F276" t="s">
        <v>33</v>
      </c>
      <c r="G276" t="s">
        <v>63</v>
      </c>
      <c r="H276" t="s">
        <v>194</v>
      </c>
      <c r="I276" t="s">
        <v>195</v>
      </c>
      <c r="J276" t="s">
        <v>83</v>
      </c>
      <c r="K276" t="s">
        <v>89</v>
      </c>
      <c r="L276" t="s">
        <v>941</v>
      </c>
      <c r="M276" t="s">
        <v>68</v>
      </c>
      <c r="N276">
        <v>6</v>
      </c>
      <c r="O276">
        <v>4246.71</v>
      </c>
      <c r="P276" s="3">
        <v>0.15</v>
      </c>
      <c r="Q276">
        <v>21658.22</v>
      </c>
      <c r="R276">
        <v>15490.69</v>
      </c>
      <c r="S276">
        <v>6167.53</v>
      </c>
      <c r="T276" t="s">
        <v>164</v>
      </c>
      <c r="U276" t="s">
        <v>112</v>
      </c>
      <c r="V276" s="3">
        <f t="shared" si="36"/>
        <v>0.15</v>
      </c>
      <c r="W276">
        <f t="shared" si="37"/>
        <v>21658.221000000001</v>
      </c>
      <c r="X276">
        <f t="shared" si="38"/>
        <v>6167.5310000000009</v>
      </c>
      <c r="Y276" s="4">
        <f t="shared" si="39"/>
        <v>0.28476627881856043</v>
      </c>
      <c r="Z276">
        <f t="shared" si="40"/>
        <v>7</v>
      </c>
      <c r="AA276">
        <f t="shared" si="41"/>
        <v>4</v>
      </c>
      <c r="AB276">
        <f t="shared" si="42"/>
        <v>2024</v>
      </c>
      <c r="AC276" t="str">
        <f t="shared" si="43"/>
        <v>Unique</v>
      </c>
      <c r="AD276" t="str">
        <f t="shared" si="44"/>
        <v>Warning</v>
      </c>
    </row>
    <row r="277" spans="1:30" x14ac:dyDescent="0.3">
      <c r="A277" t="s">
        <v>942</v>
      </c>
      <c r="B277" s="2">
        <v>45337</v>
      </c>
      <c r="C277" s="2">
        <v>45344</v>
      </c>
      <c r="D277" t="s">
        <v>943</v>
      </c>
      <c r="E277" t="s">
        <v>123</v>
      </c>
      <c r="F277" t="s">
        <v>46</v>
      </c>
      <c r="G277" t="s">
        <v>47</v>
      </c>
      <c r="H277" t="s">
        <v>108</v>
      </c>
      <c r="I277" t="s">
        <v>109</v>
      </c>
      <c r="J277" t="s">
        <v>50</v>
      </c>
      <c r="K277" t="s">
        <v>66</v>
      </c>
      <c r="L277" t="s">
        <v>944</v>
      </c>
      <c r="M277" t="s">
        <v>53</v>
      </c>
      <c r="N277">
        <v>1</v>
      </c>
      <c r="O277">
        <v>980.51</v>
      </c>
      <c r="P277" s="3">
        <v>0</v>
      </c>
      <c r="Q277">
        <v>980.51</v>
      </c>
      <c r="R277">
        <v>660.92</v>
      </c>
      <c r="S277">
        <v>319.58999999999997</v>
      </c>
      <c r="T277" t="s">
        <v>41</v>
      </c>
      <c r="U277" t="s">
        <v>42</v>
      </c>
      <c r="V277" s="3">
        <f t="shared" si="36"/>
        <v>0</v>
      </c>
      <c r="W277">
        <f t="shared" si="37"/>
        <v>980.51</v>
      </c>
      <c r="X277">
        <f t="shared" si="38"/>
        <v>319.59000000000003</v>
      </c>
      <c r="Y277" s="4">
        <f t="shared" si="39"/>
        <v>0.32594262169687205</v>
      </c>
      <c r="Z277">
        <f t="shared" si="40"/>
        <v>7</v>
      </c>
      <c r="AA277">
        <f t="shared" si="41"/>
        <v>2</v>
      </c>
      <c r="AB277">
        <f t="shared" si="42"/>
        <v>2024</v>
      </c>
      <c r="AC277" t="str">
        <f t="shared" si="43"/>
        <v>Unique</v>
      </c>
      <c r="AD277" t="str">
        <f t="shared" si="44"/>
        <v>Clean</v>
      </c>
    </row>
    <row r="278" spans="1:30" x14ac:dyDescent="0.3">
      <c r="A278" t="s">
        <v>945</v>
      </c>
      <c r="B278" s="2">
        <v>45313</v>
      </c>
      <c r="C278" s="2">
        <v>45314</v>
      </c>
      <c r="D278" t="s">
        <v>946</v>
      </c>
      <c r="E278" t="s">
        <v>137</v>
      </c>
      <c r="F278" t="s">
        <v>46</v>
      </c>
      <c r="G278" t="s">
        <v>214</v>
      </c>
      <c r="H278" t="s">
        <v>175</v>
      </c>
      <c r="I278" t="s">
        <v>176</v>
      </c>
      <c r="J278" t="s">
        <v>50</v>
      </c>
      <c r="K278" t="s">
        <v>75</v>
      </c>
      <c r="L278" t="s">
        <v>947</v>
      </c>
      <c r="M278" t="s">
        <v>40</v>
      </c>
      <c r="N278">
        <v>6</v>
      </c>
      <c r="O278">
        <v>3391.53</v>
      </c>
      <c r="P278" s="3">
        <v>-0.14000000000000001</v>
      </c>
      <c r="Q278">
        <v>15261.89</v>
      </c>
      <c r="R278">
        <v>8413.5300000000007</v>
      </c>
      <c r="S278">
        <v>6848.36</v>
      </c>
      <c r="T278" t="s">
        <v>41</v>
      </c>
      <c r="U278" t="s">
        <v>42</v>
      </c>
      <c r="V278" s="3">
        <f t="shared" si="36"/>
        <v>0.14000000000000001</v>
      </c>
      <c r="W278">
        <f t="shared" si="37"/>
        <v>17500.2948</v>
      </c>
      <c r="X278">
        <f t="shared" si="38"/>
        <v>9086.764799999999</v>
      </c>
      <c r="Y278" s="4">
        <f t="shared" si="39"/>
        <v>0.51923495597342728</v>
      </c>
      <c r="Z278">
        <f t="shared" si="40"/>
        <v>1</v>
      </c>
      <c r="AA278">
        <f t="shared" si="41"/>
        <v>1</v>
      </c>
      <c r="AB278">
        <f t="shared" si="42"/>
        <v>2024</v>
      </c>
      <c r="AC278" t="str">
        <f t="shared" si="43"/>
        <v>Unique</v>
      </c>
      <c r="AD278" t="str">
        <f t="shared" si="44"/>
        <v>Invalid</v>
      </c>
    </row>
    <row r="279" spans="1:30" x14ac:dyDescent="0.3">
      <c r="A279" t="s">
        <v>948</v>
      </c>
      <c r="B279" s="2">
        <v>45812</v>
      </c>
      <c r="C279" s="2">
        <v>45812</v>
      </c>
      <c r="D279" t="s">
        <v>800</v>
      </c>
      <c r="E279" t="s">
        <v>56</v>
      </c>
      <c r="F279" t="s">
        <v>99</v>
      </c>
      <c r="G279" t="s">
        <v>34</v>
      </c>
      <c r="H279" t="s">
        <v>246</v>
      </c>
      <c r="I279" t="s">
        <v>247</v>
      </c>
      <c r="J279" t="s">
        <v>83</v>
      </c>
      <c r="K279" t="s">
        <v>84</v>
      </c>
      <c r="L279" t="s">
        <v>949</v>
      </c>
      <c r="M279" t="s">
        <v>40</v>
      </c>
      <c r="N279">
        <v>1</v>
      </c>
      <c r="O279">
        <v>2133.73</v>
      </c>
      <c r="P279" s="3">
        <v>0.15</v>
      </c>
      <c r="Q279">
        <v>2008.39</v>
      </c>
      <c r="R279">
        <v>1002.57</v>
      </c>
      <c r="S279">
        <v>811.1</v>
      </c>
      <c r="T279" t="s">
        <v>120</v>
      </c>
      <c r="U279" t="s">
        <v>77</v>
      </c>
      <c r="V279" s="3">
        <f t="shared" si="36"/>
        <v>0.15</v>
      </c>
      <c r="W279">
        <f t="shared" si="37"/>
        <v>1813.6704999999999</v>
      </c>
      <c r="X279">
        <f t="shared" si="38"/>
        <v>811.1004999999999</v>
      </c>
      <c r="Y279" s="4">
        <f t="shared" si="39"/>
        <v>0.4472149158295291</v>
      </c>
      <c r="Z279">
        <f t="shared" si="40"/>
        <v>0</v>
      </c>
      <c r="AA279">
        <f t="shared" si="41"/>
        <v>6</v>
      </c>
      <c r="AB279">
        <f t="shared" si="42"/>
        <v>2025</v>
      </c>
      <c r="AC279" t="str">
        <f t="shared" si="43"/>
        <v>Unique</v>
      </c>
      <c r="AD279" t="str">
        <f t="shared" si="44"/>
        <v>Warning</v>
      </c>
    </row>
    <row r="280" spans="1:30" x14ac:dyDescent="0.3">
      <c r="A280" t="s">
        <v>950</v>
      </c>
      <c r="B280" s="2">
        <v>45723</v>
      </c>
      <c r="C280" s="2">
        <v>45730</v>
      </c>
      <c r="D280" t="s">
        <v>951</v>
      </c>
      <c r="E280" t="s">
        <v>123</v>
      </c>
      <c r="F280" t="s">
        <v>46</v>
      </c>
      <c r="G280" t="s">
        <v>34</v>
      </c>
      <c r="H280" t="s">
        <v>360</v>
      </c>
      <c r="I280" t="s">
        <v>361</v>
      </c>
      <c r="J280" t="s">
        <v>83</v>
      </c>
      <c r="K280" t="s">
        <v>84</v>
      </c>
      <c r="L280" t="s">
        <v>952</v>
      </c>
      <c r="M280" t="s">
        <v>53</v>
      </c>
      <c r="N280">
        <v>1</v>
      </c>
      <c r="O280">
        <v>3979.64</v>
      </c>
      <c r="P280" s="3">
        <v>0.05</v>
      </c>
      <c r="Q280">
        <v>3780.66</v>
      </c>
      <c r="R280">
        <v>2148.31</v>
      </c>
      <c r="S280">
        <v>1632.35</v>
      </c>
      <c r="T280" t="s">
        <v>41</v>
      </c>
      <c r="U280" t="s">
        <v>112</v>
      </c>
      <c r="V280" s="3">
        <f t="shared" si="36"/>
        <v>0.05</v>
      </c>
      <c r="W280">
        <f t="shared" si="37"/>
        <v>3780.6579999999999</v>
      </c>
      <c r="X280">
        <f t="shared" si="38"/>
        <v>1632.348</v>
      </c>
      <c r="Y280" s="4">
        <f t="shared" si="39"/>
        <v>0.43176293650470365</v>
      </c>
      <c r="Z280">
        <f t="shared" si="40"/>
        <v>7</v>
      </c>
      <c r="AA280">
        <f t="shared" si="41"/>
        <v>3</v>
      </c>
      <c r="AB280">
        <f t="shared" si="42"/>
        <v>2025</v>
      </c>
      <c r="AC280" t="str">
        <f t="shared" si="43"/>
        <v>Unique</v>
      </c>
      <c r="AD280" t="str">
        <f t="shared" si="44"/>
        <v>Clean</v>
      </c>
    </row>
    <row r="281" spans="1:30" x14ac:dyDescent="0.3">
      <c r="A281" t="s">
        <v>953</v>
      </c>
      <c r="B281" s="2">
        <v>45391</v>
      </c>
      <c r="C281" s="2">
        <v>45392</v>
      </c>
      <c r="D281" t="s">
        <v>954</v>
      </c>
      <c r="E281" t="s">
        <v>150</v>
      </c>
      <c r="F281" t="s">
        <v>46</v>
      </c>
      <c r="G281" t="s">
        <v>72</v>
      </c>
      <c r="H281" t="s">
        <v>73</v>
      </c>
      <c r="I281" t="s">
        <v>74</v>
      </c>
      <c r="J281" t="s">
        <v>37</v>
      </c>
      <c r="K281" t="s">
        <v>133</v>
      </c>
      <c r="L281" t="s">
        <v>955</v>
      </c>
      <c r="M281" t="s">
        <v>59</v>
      </c>
      <c r="N281">
        <v>1</v>
      </c>
      <c r="O281">
        <v>4359.12</v>
      </c>
      <c r="P281" s="3">
        <v>0.05</v>
      </c>
      <c r="Q281">
        <v>4141.16</v>
      </c>
      <c r="R281">
        <v>2754.17</v>
      </c>
      <c r="S281">
        <v>1386.99</v>
      </c>
      <c r="T281" t="s">
        <v>41</v>
      </c>
      <c r="U281" t="s">
        <v>42</v>
      </c>
      <c r="V281" s="3">
        <f t="shared" si="36"/>
        <v>0.05</v>
      </c>
      <c r="W281">
        <f t="shared" si="37"/>
        <v>4141.1639999999998</v>
      </c>
      <c r="X281">
        <f t="shared" si="38"/>
        <v>1386.9939999999997</v>
      </c>
      <c r="Y281" s="4">
        <f t="shared" si="39"/>
        <v>0.33492853700070796</v>
      </c>
      <c r="Z281">
        <f t="shared" si="40"/>
        <v>1</v>
      </c>
      <c r="AA281">
        <f t="shared" si="41"/>
        <v>4</v>
      </c>
      <c r="AB281">
        <f t="shared" si="42"/>
        <v>2024</v>
      </c>
      <c r="AC281" t="str">
        <f t="shared" si="43"/>
        <v>Unique</v>
      </c>
      <c r="AD281" t="str">
        <f t="shared" si="44"/>
        <v>Clean</v>
      </c>
    </row>
    <row r="282" spans="1:30" x14ac:dyDescent="0.3">
      <c r="A282" t="s">
        <v>956</v>
      </c>
      <c r="B282" s="2">
        <v>45649</v>
      </c>
      <c r="C282" s="2">
        <v>45652</v>
      </c>
      <c r="D282" t="s">
        <v>957</v>
      </c>
      <c r="E282" t="s">
        <v>98</v>
      </c>
      <c r="F282" t="s">
        <v>33</v>
      </c>
      <c r="G282" t="s">
        <v>63</v>
      </c>
      <c r="H282" t="s">
        <v>184</v>
      </c>
      <c r="I282" t="s">
        <v>185</v>
      </c>
      <c r="J282" t="s">
        <v>83</v>
      </c>
      <c r="K282" t="s">
        <v>89</v>
      </c>
      <c r="L282" t="s">
        <v>958</v>
      </c>
      <c r="M282" t="s">
        <v>68</v>
      </c>
      <c r="N282">
        <v>9</v>
      </c>
      <c r="O282">
        <v>993.67</v>
      </c>
      <c r="P282" s="3">
        <v>0</v>
      </c>
      <c r="Q282">
        <v>8943.0300000000007</v>
      </c>
      <c r="R282">
        <v>5165.38</v>
      </c>
      <c r="S282">
        <v>3777.65</v>
      </c>
      <c r="T282" t="s">
        <v>41</v>
      </c>
      <c r="U282" t="s">
        <v>42</v>
      </c>
      <c r="V282" s="3">
        <f t="shared" si="36"/>
        <v>0</v>
      </c>
      <c r="W282">
        <f t="shared" si="37"/>
        <v>8943.0299999999988</v>
      </c>
      <c r="X282">
        <f t="shared" si="38"/>
        <v>3777.6499999999987</v>
      </c>
      <c r="Y282" s="4">
        <f t="shared" si="39"/>
        <v>0.42241276167026154</v>
      </c>
      <c r="Z282">
        <f t="shared" si="40"/>
        <v>3</v>
      </c>
      <c r="AA282">
        <f t="shared" si="41"/>
        <v>12</v>
      </c>
      <c r="AB282">
        <f t="shared" si="42"/>
        <v>2024</v>
      </c>
      <c r="AC282" t="str">
        <f t="shared" si="43"/>
        <v>Unique</v>
      </c>
      <c r="AD282" t="str">
        <f t="shared" si="44"/>
        <v>Clean</v>
      </c>
    </row>
    <row r="283" spans="1:30" x14ac:dyDescent="0.3">
      <c r="A283" t="s">
        <v>959</v>
      </c>
      <c r="B283" s="2">
        <v>45863</v>
      </c>
      <c r="C283" s="2">
        <v>45865</v>
      </c>
      <c r="D283" t="s">
        <v>960</v>
      </c>
      <c r="E283" t="s">
        <v>274</v>
      </c>
      <c r="F283" t="s">
        <v>33</v>
      </c>
      <c r="G283" t="s">
        <v>47</v>
      </c>
      <c r="H283" t="s">
        <v>238</v>
      </c>
      <c r="I283" t="s">
        <v>239</v>
      </c>
      <c r="J283" t="s">
        <v>37</v>
      </c>
      <c r="K283" t="s">
        <v>162</v>
      </c>
      <c r="L283" t="s">
        <v>961</v>
      </c>
      <c r="M283" t="s">
        <v>40</v>
      </c>
      <c r="N283">
        <v>6</v>
      </c>
      <c r="O283">
        <v>3438.38</v>
      </c>
      <c r="P283" s="3">
        <v>0.2</v>
      </c>
      <c r="Q283">
        <v>16504.22</v>
      </c>
      <c r="R283">
        <v>11262.71</v>
      </c>
      <c r="S283">
        <v>5241.51</v>
      </c>
      <c r="T283" t="s">
        <v>41</v>
      </c>
      <c r="U283" t="s">
        <v>42</v>
      </c>
      <c r="V283" s="3">
        <f t="shared" si="36"/>
        <v>0.2</v>
      </c>
      <c r="W283">
        <f t="shared" si="37"/>
        <v>16504.223999999998</v>
      </c>
      <c r="X283">
        <f t="shared" si="38"/>
        <v>5241.5139999999992</v>
      </c>
      <c r="Y283" s="4">
        <f t="shared" si="39"/>
        <v>0.31758621308096641</v>
      </c>
      <c r="Z283">
        <f t="shared" si="40"/>
        <v>2</v>
      </c>
      <c r="AA283">
        <f t="shared" si="41"/>
        <v>7</v>
      </c>
      <c r="AB283">
        <f t="shared" si="42"/>
        <v>2025</v>
      </c>
      <c r="AC283" t="str">
        <f t="shared" si="43"/>
        <v>Unique</v>
      </c>
      <c r="AD283" t="str">
        <f t="shared" si="44"/>
        <v>Clean</v>
      </c>
    </row>
    <row r="284" spans="1:30" x14ac:dyDescent="0.3">
      <c r="A284" t="s">
        <v>962</v>
      </c>
      <c r="B284" s="2">
        <v>45566</v>
      </c>
      <c r="C284" s="2">
        <v>45567</v>
      </c>
      <c r="D284" t="s">
        <v>963</v>
      </c>
      <c r="E284" t="s">
        <v>32</v>
      </c>
      <c r="F284" t="s">
        <v>104</v>
      </c>
      <c r="G284" t="s">
        <v>47</v>
      </c>
      <c r="H284" t="s">
        <v>175</v>
      </c>
      <c r="I284" t="s">
        <v>176</v>
      </c>
      <c r="J284" t="s">
        <v>50</v>
      </c>
      <c r="K284" t="s">
        <v>51</v>
      </c>
      <c r="L284" t="s">
        <v>964</v>
      </c>
      <c r="M284" t="s">
        <v>40</v>
      </c>
      <c r="N284">
        <v>2</v>
      </c>
      <c r="O284">
        <v>2298</v>
      </c>
      <c r="P284" s="3">
        <v>0</v>
      </c>
      <c r="Q284">
        <v>4596</v>
      </c>
      <c r="R284">
        <v>3220.33</v>
      </c>
      <c r="S284">
        <v>1375.67</v>
      </c>
      <c r="T284" t="s">
        <v>41</v>
      </c>
      <c r="U284" t="s">
        <v>42</v>
      </c>
      <c r="V284" s="3">
        <f t="shared" si="36"/>
        <v>0</v>
      </c>
      <c r="W284">
        <f t="shared" si="37"/>
        <v>4596</v>
      </c>
      <c r="X284">
        <f t="shared" si="38"/>
        <v>1375.67</v>
      </c>
      <c r="Y284" s="4">
        <f t="shared" si="39"/>
        <v>0.29931897302001742</v>
      </c>
      <c r="Z284">
        <f t="shared" si="40"/>
        <v>1</v>
      </c>
      <c r="AA284">
        <f t="shared" si="41"/>
        <v>10</v>
      </c>
      <c r="AB284">
        <f t="shared" si="42"/>
        <v>2024</v>
      </c>
      <c r="AC284" t="str">
        <f t="shared" si="43"/>
        <v>Unique</v>
      </c>
      <c r="AD284" t="str">
        <f t="shared" si="44"/>
        <v>Clean</v>
      </c>
    </row>
    <row r="285" spans="1:30" x14ac:dyDescent="0.3">
      <c r="A285" t="s">
        <v>965</v>
      </c>
      <c r="B285" s="2">
        <v>45729</v>
      </c>
      <c r="C285" s="2">
        <v>45736</v>
      </c>
      <c r="D285" t="s">
        <v>966</v>
      </c>
      <c r="E285" t="s">
        <v>80</v>
      </c>
      <c r="F285" t="s">
        <v>33</v>
      </c>
      <c r="G285" t="s">
        <v>72</v>
      </c>
      <c r="H285" t="s">
        <v>73</v>
      </c>
      <c r="I285" t="s">
        <v>74</v>
      </c>
      <c r="J285" t="s">
        <v>50</v>
      </c>
      <c r="K285" t="s">
        <v>66</v>
      </c>
      <c r="L285" t="s">
        <v>967</v>
      </c>
      <c r="M285" t="s">
        <v>59</v>
      </c>
      <c r="N285">
        <v>1</v>
      </c>
      <c r="O285">
        <v>1814.01</v>
      </c>
      <c r="P285" s="3">
        <v>0</v>
      </c>
      <c r="Q285">
        <v>1814.01</v>
      </c>
      <c r="R285">
        <v>1033.47</v>
      </c>
      <c r="S285">
        <v>780.54</v>
      </c>
      <c r="T285" t="s">
        <v>41</v>
      </c>
      <c r="U285" t="s">
        <v>42</v>
      </c>
      <c r="V285" s="3">
        <f t="shared" si="36"/>
        <v>0</v>
      </c>
      <c r="W285">
        <f t="shared" si="37"/>
        <v>1814.01</v>
      </c>
      <c r="X285">
        <f t="shared" si="38"/>
        <v>780.54</v>
      </c>
      <c r="Y285" s="4">
        <f t="shared" si="39"/>
        <v>0.43028428729720342</v>
      </c>
      <c r="Z285">
        <f t="shared" si="40"/>
        <v>7</v>
      </c>
      <c r="AA285">
        <f t="shared" si="41"/>
        <v>3</v>
      </c>
      <c r="AB285">
        <f t="shared" si="42"/>
        <v>2025</v>
      </c>
      <c r="AC285" t="str">
        <f t="shared" si="43"/>
        <v>Unique</v>
      </c>
      <c r="AD285" t="str">
        <f t="shared" si="44"/>
        <v>Clean</v>
      </c>
    </row>
    <row r="286" spans="1:30" x14ac:dyDescent="0.3">
      <c r="A286" t="s">
        <v>968</v>
      </c>
      <c r="B286" s="2">
        <v>45634</v>
      </c>
      <c r="C286" s="2">
        <v>45640</v>
      </c>
      <c r="D286" t="s">
        <v>969</v>
      </c>
      <c r="E286" t="s">
        <v>32</v>
      </c>
      <c r="F286" t="s">
        <v>33</v>
      </c>
      <c r="G286" t="s">
        <v>47</v>
      </c>
      <c r="H286" t="s">
        <v>48</v>
      </c>
      <c r="I286" t="s">
        <v>49</v>
      </c>
      <c r="J286" t="s">
        <v>50</v>
      </c>
      <c r="K286" t="s">
        <v>51</v>
      </c>
      <c r="L286" t="s">
        <v>970</v>
      </c>
      <c r="M286" t="s">
        <v>53</v>
      </c>
      <c r="N286">
        <v>3</v>
      </c>
      <c r="O286">
        <v>1576.92</v>
      </c>
      <c r="P286" s="3">
        <v>0</v>
      </c>
      <c r="Q286">
        <v>4730.76</v>
      </c>
      <c r="R286">
        <v>3139.73</v>
      </c>
      <c r="S286">
        <v>1591.03</v>
      </c>
      <c r="T286" t="s">
        <v>41</v>
      </c>
      <c r="U286" t="s">
        <v>112</v>
      </c>
      <c r="V286" s="3">
        <f t="shared" si="36"/>
        <v>0</v>
      </c>
      <c r="W286">
        <f t="shared" si="37"/>
        <v>4730.76</v>
      </c>
      <c r="X286">
        <f t="shared" si="38"/>
        <v>1591.0300000000002</v>
      </c>
      <c r="Y286" s="4">
        <f t="shared" si="39"/>
        <v>0.33631594077907145</v>
      </c>
      <c r="Z286">
        <f t="shared" si="40"/>
        <v>6</v>
      </c>
      <c r="AA286">
        <f t="shared" si="41"/>
        <v>12</v>
      </c>
      <c r="AB286">
        <f t="shared" si="42"/>
        <v>2024</v>
      </c>
      <c r="AC286" t="str">
        <f t="shared" si="43"/>
        <v>Unique</v>
      </c>
      <c r="AD286" t="str">
        <f t="shared" si="44"/>
        <v>Clean</v>
      </c>
    </row>
    <row r="287" spans="1:30" x14ac:dyDescent="0.3">
      <c r="A287" t="s">
        <v>971</v>
      </c>
      <c r="B287" s="2">
        <v>45884</v>
      </c>
      <c r="C287" s="2">
        <v>45889</v>
      </c>
      <c r="D287" t="s">
        <v>972</v>
      </c>
      <c r="E287" t="s">
        <v>88</v>
      </c>
      <c r="F287" t="s">
        <v>104</v>
      </c>
      <c r="G287" t="s">
        <v>34</v>
      </c>
      <c r="H287" t="s">
        <v>35</v>
      </c>
      <c r="I287" t="s">
        <v>36</v>
      </c>
      <c r="J287" t="s">
        <v>37</v>
      </c>
      <c r="K287" t="s">
        <v>133</v>
      </c>
      <c r="L287" t="s">
        <v>973</v>
      </c>
      <c r="M287" t="s">
        <v>68</v>
      </c>
      <c r="N287">
        <v>9</v>
      </c>
      <c r="O287">
        <v>4081.77</v>
      </c>
      <c r="P287" s="3">
        <v>0</v>
      </c>
      <c r="Q287">
        <v>36735.93</v>
      </c>
      <c r="R287">
        <v>30820.84</v>
      </c>
      <c r="S287">
        <v>5915.09</v>
      </c>
      <c r="T287" t="s">
        <v>41</v>
      </c>
      <c r="U287" t="s">
        <v>42</v>
      </c>
      <c r="V287" s="3">
        <f t="shared" si="36"/>
        <v>0</v>
      </c>
      <c r="W287">
        <f t="shared" si="37"/>
        <v>36735.93</v>
      </c>
      <c r="X287">
        <f t="shared" si="38"/>
        <v>5915.09</v>
      </c>
      <c r="Y287" s="4">
        <f t="shared" si="39"/>
        <v>0.16101647624001897</v>
      </c>
      <c r="Z287">
        <f t="shared" si="40"/>
        <v>5</v>
      </c>
      <c r="AA287">
        <f t="shared" si="41"/>
        <v>8</v>
      </c>
      <c r="AB287">
        <f t="shared" si="42"/>
        <v>2025</v>
      </c>
      <c r="AC287" t="str">
        <f t="shared" si="43"/>
        <v>Unique</v>
      </c>
      <c r="AD287" t="str">
        <f t="shared" si="44"/>
        <v>Clean</v>
      </c>
    </row>
    <row r="288" spans="1:30" x14ac:dyDescent="0.3">
      <c r="A288" t="s">
        <v>974</v>
      </c>
      <c r="B288" s="2">
        <v>45350</v>
      </c>
      <c r="C288" s="2">
        <v>45353</v>
      </c>
      <c r="D288" t="s">
        <v>975</v>
      </c>
      <c r="E288" t="s">
        <v>123</v>
      </c>
      <c r="F288" t="s">
        <v>46</v>
      </c>
      <c r="G288" t="s">
        <v>34</v>
      </c>
      <c r="H288" t="s">
        <v>360</v>
      </c>
      <c r="I288" t="s">
        <v>361</v>
      </c>
      <c r="J288" t="s">
        <v>50</v>
      </c>
      <c r="K288" t="s">
        <v>66</v>
      </c>
      <c r="L288" t="s">
        <v>976</v>
      </c>
      <c r="M288" t="s">
        <v>59</v>
      </c>
      <c r="N288">
        <v>7</v>
      </c>
      <c r="O288">
        <v>701.8</v>
      </c>
      <c r="P288" s="3">
        <v>0.1</v>
      </c>
      <c r="Q288">
        <v>4421.34</v>
      </c>
      <c r="R288">
        <v>2489.98</v>
      </c>
      <c r="S288">
        <v>1931.36</v>
      </c>
      <c r="T288" t="s">
        <v>120</v>
      </c>
      <c r="U288" t="s">
        <v>112</v>
      </c>
      <c r="V288" s="3">
        <f t="shared" si="36"/>
        <v>0.1</v>
      </c>
      <c r="W288">
        <f t="shared" si="37"/>
        <v>4421.3399999999992</v>
      </c>
      <c r="X288">
        <f t="shared" si="38"/>
        <v>1931.3599999999992</v>
      </c>
      <c r="Y288" s="4">
        <f t="shared" si="39"/>
        <v>0.43682684435035524</v>
      </c>
      <c r="Z288">
        <f t="shared" si="40"/>
        <v>3</v>
      </c>
      <c r="AA288">
        <f t="shared" si="41"/>
        <v>2</v>
      </c>
      <c r="AB288">
        <f t="shared" si="42"/>
        <v>2024</v>
      </c>
      <c r="AC288" t="str">
        <f t="shared" si="43"/>
        <v>Unique</v>
      </c>
      <c r="AD288" t="str">
        <f t="shared" si="44"/>
        <v>Clean</v>
      </c>
    </row>
    <row r="289" spans="1:30" x14ac:dyDescent="0.3">
      <c r="A289" t="s">
        <v>977</v>
      </c>
      <c r="B289" s="2">
        <v>45540</v>
      </c>
      <c r="C289" s="2">
        <v>45542</v>
      </c>
      <c r="D289" t="s">
        <v>978</v>
      </c>
      <c r="E289" t="s">
        <v>88</v>
      </c>
      <c r="F289" t="s">
        <v>46</v>
      </c>
      <c r="G289" t="s">
        <v>63</v>
      </c>
      <c r="H289" t="s">
        <v>257</v>
      </c>
      <c r="I289" t="s">
        <v>258</v>
      </c>
      <c r="J289" t="s">
        <v>83</v>
      </c>
      <c r="K289" t="s">
        <v>89</v>
      </c>
      <c r="L289" t="s">
        <v>979</v>
      </c>
      <c r="M289" t="s">
        <v>68</v>
      </c>
      <c r="N289">
        <v>3</v>
      </c>
      <c r="O289">
        <v>2555.66</v>
      </c>
      <c r="P289" s="3">
        <v>0.15</v>
      </c>
      <c r="Q289">
        <v>6516.93</v>
      </c>
      <c r="R289">
        <v>4511.54</v>
      </c>
      <c r="S289">
        <v>2005.39</v>
      </c>
      <c r="T289" t="s">
        <v>41</v>
      </c>
      <c r="U289" t="s">
        <v>77</v>
      </c>
      <c r="V289" s="3">
        <f t="shared" si="36"/>
        <v>0.15</v>
      </c>
      <c r="W289">
        <f t="shared" si="37"/>
        <v>6516.9329999999991</v>
      </c>
      <c r="X289">
        <f t="shared" si="38"/>
        <v>2005.3929999999991</v>
      </c>
      <c r="Y289" s="4">
        <f t="shared" si="39"/>
        <v>0.30772036477895343</v>
      </c>
      <c r="Z289">
        <f t="shared" si="40"/>
        <v>2</v>
      </c>
      <c r="AA289">
        <f t="shared" si="41"/>
        <v>9</v>
      </c>
      <c r="AB289">
        <f t="shared" si="42"/>
        <v>2024</v>
      </c>
      <c r="AC289" t="str">
        <f t="shared" si="43"/>
        <v>Unique</v>
      </c>
      <c r="AD289" t="str">
        <f t="shared" si="44"/>
        <v>Warning</v>
      </c>
    </row>
    <row r="290" spans="1:30" x14ac:dyDescent="0.3">
      <c r="A290" t="s">
        <v>980</v>
      </c>
      <c r="B290" s="2">
        <v>45467</v>
      </c>
      <c r="C290" s="2">
        <v>45467</v>
      </c>
      <c r="D290" t="s">
        <v>981</v>
      </c>
      <c r="E290" t="s">
        <v>150</v>
      </c>
      <c r="F290" t="s">
        <v>46</v>
      </c>
      <c r="G290" t="s">
        <v>47</v>
      </c>
      <c r="H290" t="s">
        <v>154</v>
      </c>
      <c r="I290" t="s">
        <v>155</v>
      </c>
      <c r="J290" t="s">
        <v>37</v>
      </c>
      <c r="K290" t="s">
        <v>162</v>
      </c>
      <c r="L290" t="s">
        <v>982</v>
      </c>
      <c r="M290" t="s">
        <v>53</v>
      </c>
      <c r="N290">
        <v>2</v>
      </c>
      <c r="O290">
        <v>4359.8999999999996</v>
      </c>
      <c r="P290" s="3">
        <v>0.15</v>
      </c>
      <c r="Q290">
        <v>7411.83</v>
      </c>
      <c r="R290">
        <v>4904.63</v>
      </c>
      <c r="S290">
        <v>2507.1999999999998</v>
      </c>
      <c r="T290" t="s">
        <v>41</v>
      </c>
      <c r="U290" t="s">
        <v>42</v>
      </c>
      <c r="V290" s="3">
        <f t="shared" si="36"/>
        <v>0.15</v>
      </c>
      <c r="W290">
        <f t="shared" si="37"/>
        <v>7411.829999999999</v>
      </c>
      <c r="X290">
        <f t="shared" si="38"/>
        <v>2507.1999999999989</v>
      </c>
      <c r="Y290" s="4">
        <f t="shared" si="39"/>
        <v>0.3382700358750807</v>
      </c>
      <c r="Z290">
        <f t="shared" si="40"/>
        <v>0</v>
      </c>
      <c r="AA290">
        <f t="shared" si="41"/>
        <v>6</v>
      </c>
      <c r="AB290">
        <f t="shared" si="42"/>
        <v>2024</v>
      </c>
      <c r="AC290" t="str">
        <f t="shared" si="43"/>
        <v>Unique</v>
      </c>
      <c r="AD290" t="str">
        <f t="shared" si="44"/>
        <v>Clean</v>
      </c>
    </row>
    <row r="291" spans="1:30" x14ac:dyDescent="0.3">
      <c r="A291" t="s">
        <v>983</v>
      </c>
      <c r="B291" s="2">
        <v>45827</v>
      </c>
      <c r="C291" s="2">
        <v>45835</v>
      </c>
      <c r="D291" t="s">
        <v>984</v>
      </c>
      <c r="E291" t="s">
        <v>32</v>
      </c>
      <c r="F291" t="s">
        <v>104</v>
      </c>
      <c r="G291" t="s">
        <v>63</v>
      </c>
      <c r="H291" t="s">
        <v>257</v>
      </c>
      <c r="I291" t="s">
        <v>258</v>
      </c>
      <c r="J291" t="s">
        <v>50</v>
      </c>
      <c r="K291" t="s">
        <v>167</v>
      </c>
      <c r="L291" t="s">
        <v>985</v>
      </c>
      <c r="M291" t="s">
        <v>59</v>
      </c>
      <c r="N291">
        <v>2</v>
      </c>
      <c r="O291">
        <v>4346.6899999999996</v>
      </c>
      <c r="P291" s="3">
        <v>0.05</v>
      </c>
      <c r="Q291">
        <v>8258.7099999999991</v>
      </c>
      <c r="R291">
        <v>7018.97</v>
      </c>
      <c r="S291">
        <v>1239.74</v>
      </c>
      <c r="T291" t="s">
        <v>41</v>
      </c>
      <c r="U291" t="s">
        <v>42</v>
      </c>
      <c r="V291" s="3">
        <f t="shared" si="36"/>
        <v>0.05</v>
      </c>
      <c r="W291">
        <f t="shared" si="37"/>
        <v>8258.7109999999993</v>
      </c>
      <c r="X291">
        <f t="shared" si="38"/>
        <v>1239.7409999999991</v>
      </c>
      <c r="Y291" s="4">
        <f t="shared" si="39"/>
        <v>0.15011313508851432</v>
      </c>
      <c r="Z291">
        <f t="shared" si="40"/>
        <v>8</v>
      </c>
      <c r="AA291">
        <f t="shared" si="41"/>
        <v>6</v>
      </c>
      <c r="AB291">
        <f t="shared" si="42"/>
        <v>2025</v>
      </c>
      <c r="AC291" t="str">
        <f t="shared" si="43"/>
        <v>Unique</v>
      </c>
      <c r="AD291" t="str">
        <f t="shared" si="44"/>
        <v>Clean</v>
      </c>
    </row>
    <row r="292" spans="1:30" x14ac:dyDescent="0.3">
      <c r="A292" t="s">
        <v>986</v>
      </c>
      <c r="B292" s="2">
        <v>45891</v>
      </c>
      <c r="C292" s="2">
        <v>45895</v>
      </c>
      <c r="D292" t="s">
        <v>987</v>
      </c>
      <c r="E292" t="s">
        <v>171</v>
      </c>
      <c r="F292" t="s">
        <v>104</v>
      </c>
      <c r="G292" t="s">
        <v>47</v>
      </c>
      <c r="H292" t="s">
        <v>238</v>
      </c>
      <c r="I292" t="s">
        <v>239</v>
      </c>
      <c r="J292" t="s">
        <v>50</v>
      </c>
      <c r="K292" t="s">
        <v>51</v>
      </c>
      <c r="L292" t="s">
        <v>988</v>
      </c>
      <c r="M292" t="s">
        <v>68</v>
      </c>
      <c r="N292">
        <v>1</v>
      </c>
      <c r="O292">
        <v>1842.63</v>
      </c>
      <c r="P292" s="3">
        <v>0.1</v>
      </c>
      <c r="Q292">
        <v>1658.37</v>
      </c>
      <c r="R292">
        <v>971.12</v>
      </c>
      <c r="S292">
        <v>687.25</v>
      </c>
      <c r="T292" t="s">
        <v>41</v>
      </c>
      <c r="U292" t="s">
        <v>42</v>
      </c>
      <c r="V292" s="3">
        <f t="shared" si="36"/>
        <v>0.1</v>
      </c>
      <c r="W292">
        <f t="shared" si="37"/>
        <v>1658.3670000000002</v>
      </c>
      <c r="X292">
        <f t="shared" si="38"/>
        <v>687.24700000000018</v>
      </c>
      <c r="Y292" s="4">
        <f t="shared" si="39"/>
        <v>0.41441188832146331</v>
      </c>
      <c r="Z292">
        <f t="shared" si="40"/>
        <v>4</v>
      </c>
      <c r="AA292">
        <f t="shared" si="41"/>
        <v>8</v>
      </c>
      <c r="AB292">
        <f t="shared" si="42"/>
        <v>2025</v>
      </c>
      <c r="AC292" t="str">
        <f t="shared" si="43"/>
        <v>Unique</v>
      </c>
      <c r="AD292" t="str">
        <f t="shared" si="44"/>
        <v>Clean</v>
      </c>
    </row>
    <row r="293" spans="1:30" x14ac:dyDescent="0.3">
      <c r="A293" t="s">
        <v>989</v>
      </c>
      <c r="B293" s="2">
        <v>45387</v>
      </c>
      <c r="C293" s="2">
        <v>45392</v>
      </c>
      <c r="D293" t="s">
        <v>990</v>
      </c>
      <c r="E293" t="s">
        <v>123</v>
      </c>
      <c r="F293" t="s">
        <v>104</v>
      </c>
      <c r="G293" t="s">
        <v>34</v>
      </c>
      <c r="H293" t="s">
        <v>35</v>
      </c>
      <c r="I293" t="s">
        <v>36</v>
      </c>
      <c r="J293" t="s">
        <v>37</v>
      </c>
      <c r="K293" t="s">
        <v>162</v>
      </c>
      <c r="L293" t="s">
        <v>991</v>
      </c>
      <c r="M293" t="s">
        <v>68</v>
      </c>
      <c r="N293">
        <v>4</v>
      </c>
      <c r="O293">
        <v>3228.66</v>
      </c>
      <c r="P293" s="3">
        <v>0.25</v>
      </c>
      <c r="Q293">
        <v>9685.98</v>
      </c>
      <c r="R293">
        <v>7730.04</v>
      </c>
      <c r="S293">
        <v>1955.94</v>
      </c>
      <c r="T293" t="s">
        <v>41</v>
      </c>
      <c r="U293" t="s">
        <v>42</v>
      </c>
      <c r="V293" s="3">
        <f t="shared" si="36"/>
        <v>0.25</v>
      </c>
      <c r="W293">
        <f t="shared" si="37"/>
        <v>9685.98</v>
      </c>
      <c r="X293">
        <f t="shared" si="38"/>
        <v>1955.9399999999996</v>
      </c>
      <c r="Y293" s="4">
        <f t="shared" si="39"/>
        <v>0.20193516815025425</v>
      </c>
      <c r="Z293">
        <f t="shared" si="40"/>
        <v>5</v>
      </c>
      <c r="AA293">
        <f t="shared" si="41"/>
        <v>4</v>
      </c>
      <c r="AB293">
        <f t="shared" si="42"/>
        <v>2024</v>
      </c>
      <c r="AC293" t="str">
        <f t="shared" si="43"/>
        <v>Unique</v>
      </c>
      <c r="AD293" t="str">
        <f t="shared" si="44"/>
        <v>Clean</v>
      </c>
    </row>
    <row r="294" spans="1:30" x14ac:dyDescent="0.3">
      <c r="A294" t="s">
        <v>992</v>
      </c>
      <c r="B294" s="2">
        <v>45716</v>
      </c>
      <c r="C294" s="2">
        <v>45719</v>
      </c>
      <c r="D294" t="s">
        <v>993</v>
      </c>
      <c r="E294" t="s">
        <v>274</v>
      </c>
      <c r="F294" t="s">
        <v>104</v>
      </c>
      <c r="G294" t="s">
        <v>34</v>
      </c>
      <c r="H294" t="s">
        <v>246</v>
      </c>
      <c r="I294" t="s">
        <v>247</v>
      </c>
      <c r="J294" t="s">
        <v>37</v>
      </c>
      <c r="K294" t="s">
        <v>57</v>
      </c>
      <c r="L294" t="s">
        <v>994</v>
      </c>
      <c r="M294" t="s">
        <v>53</v>
      </c>
      <c r="N294">
        <v>9</v>
      </c>
      <c r="O294">
        <v>3748.95</v>
      </c>
      <c r="P294" s="3">
        <v>0</v>
      </c>
      <c r="Q294">
        <v>33740.550000000003</v>
      </c>
      <c r="R294">
        <v>24621.89</v>
      </c>
      <c r="S294">
        <v>9118.66</v>
      </c>
      <c r="T294" t="s">
        <v>120</v>
      </c>
      <c r="U294" t="s">
        <v>77</v>
      </c>
      <c r="V294" s="3">
        <f t="shared" si="36"/>
        <v>0</v>
      </c>
      <c r="W294">
        <f t="shared" si="37"/>
        <v>33740.549999999996</v>
      </c>
      <c r="X294">
        <f t="shared" si="38"/>
        <v>9118.6599999999962</v>
      </c>
      <c r="Y294" s="4">
        <f t="shared" si="39"/>
        <v>0.2702581908119458</v>
      </c>
      <c r="Z294">
        <f t="shared" si="40"/>
        <v>3</v>
      </c>
      <c r="AA294">
        <f t="shared" si="41"/>
        <v>2</v>
      </c>
      <c r="AB294">
        <f t="shared" si="42"/>
        <v>2025</v>
      </c>
      <c r="AC294" t="str">
        <f t="shared" si="43"/>
        <v>Unique</v>
      </c>
      <c r="AD294" t="str">
        <f t="shared" si="44"/>
        <v>Warning</v>
      </c>
    </row>
    <row r="295" spans="1:30" x14ac:dyDescent="0.3">
      <c r="A295" t="s">
        <v>995</v>
      </c>
      <c r="B295" s="2">
        <v>45358</v>
      </c>
      <c r="C295" s="2">
        <v>45362</v>
      </c>
      <c r="D295" t="s">
        <v>996</v>
      </c>
      <c r="E295" t="s">
        <v>62</v>
      </c>
      <c r="F295" t="s">
        <v>104</v>
      </c>
      <c r="G295" t="s">
        <v>63</v>
      </c>
      <c r="H295" t="s">
        <v>64</v>
      </c>
      <c r="I295" t="s">
        <v>65</v>
      </c>
      <c r="J295" t="s">
        <v>83</v>
      </c>
      <c r="K295" t="s">
        <v>180</v>
      </c>
      <c r="L295" t="s">
        <v>997</v>
      </c>
      <c r="M295" t="s">
        <v>59</v>
      </c>
      <c r="N295">
        <v>2</v>
      </c>
      <c r="O295">
        <v>4401.51</v>
      </c>
      <c r="P295" s="3">
        <v>0.65</v>
      </c>
      <c r="Q295">
        <v>8362.8700000000008</v>
      </c>
      <c r="R295">
        <v>6541.04</v>
      </c>
      <c r="S295">
        <v>1821.83</v>
      </c>
      <c r="T295" t="s">
        <v>41</v>
      </c>
      <c r="U295" t="s">
        <v>42</v>
      </c>
      <c r="V295" s="3">
        <f t="shared" si="36"/>
        <v>0.65</v>
      </c>
      <c r="W295">
        <f t="shared" si="37"/>
        <v>3081.0569999999998</v>
      </c>
      <c r="X295">
        <f t="shared" si="38"/>
        <v>-3459.9830000000002</v>
      </c>
      <c r="Y295" s="4">
        <f t="shared" si="39"/>
        <v>-1.1229857156164267</v>
      </c>
      <c r="Z295">
        <f t="shared" si="40"/>
        <v>4</v>
      </c>
      <c r="AA295">
        <f t="shared" si="41"/>
        <v>3</v>
      </c>
      <c r="AB295">
        <f t="shared" si="42"/>
        <v>2024</v>
      </c>
      <c r="AC295" t="str">
        <f t="shared" si="43"/>
        <v>Unique</v>
      </c>
      <c r="AD295" t="str">
        <f t="shared" si="44"/>
        <v>Clean</v>
      </c>
    </row>
    <row r="296" spans="1:30" x14ac:dyDescent="0.3">
      <c r="A296" t="s">
        <v>998</v>
      </c>
      <c r="B296" s="2">
        <v>45854</v>
      </c>
      <c r="C296" s="2">
        <v>45860</v>
      </c>
      <c r="D296" t="s">
        <v>999</v>
      </c>
      <c r="E296" t="s">
        <v>123</v>
      </c>
      <c r="F296" t="s">
        <v>33</v>
      </c>
      <c r="G296" t="s">
        <v>47</v>
      </c>
      <c r="H296" t="s">
        <v>48</v>
      </c>
      <c r="I296" t="s">
        <v>49</v>
      </c>
      <c r="J296" t="s">
        <v>83</v>
      </c>
      <c r="K296" t="s">
        <v>180</v>
      </c>
      <c r="L296" t="s">
        <v>1000</v>
      </c>
      <c r="M296" t="s">
        <v>40</v>
      </c>
      <c r="N296">
        <v>6</v>
      </c>
      <c r="O296">
        <v>4159.33</v>
      </c>
      <c r="P296" s="3">
        <v>0.25</v>
      </c>
      <c r="Q296">
        <v>18716.990000000002</v>
      </c>
      <c r="R296">
        <v>12282.43</v>
      </c>
      <c r="S296">
        <v>6434.56</v>
      </c>
      <c r="T296" t="s">
        <v>41</v>
      </c>
      <c r="U296" t="s">
        <v>112</v>
      </c>
      <c r="V296" s="3">
        <f t="shared" si="36"/>
        <v>0.25</v>
      </c>
      <c r="W296">
        <f t="shared" si="37"/>
        <v>18716.985000000001</v>
      </c>
      <c r="X296">
        <f t="shared" si="38"/>
        <v>6434.5550000000003</v>
      </c>
      <c r="Y296" s="4">
        <f t="shared" si="39"/>
        <v>0.34378159730319813</v>
      </c>
      <c r="Z296">
        <f t="shared" si="40"/>
        <v>6</v>
      </c>
      <c r="AA296">
        <f t="shared" si="41"/>
        <v>7</v>
      </c>
      <c r="AB296">
        <f t="shared" si="42"/>
        <v>2025</v>
      </c>
      <c r="AC296" t="str">
        <f t="shared" si="43"/>
        <v>Unique</v>
      </c>
      <c r="AD296" t="str">
        <f t="shared" si="44"/>
        <v>Clean</v>
      </c>
    </row>
    <row r="297" spans="1:30" x14ac:dyDescent="0.3">
      <c r="A297" t="s">
        <v>1001</v>
      </c>
      <c r="B297" s="2">
        <v>45833</v>
      </c>
      <c r="C297" s="2">
        <v>45836</v>
      </c>
      <c r="D297" t="s">
        <v>1002</v>
      </c>
      <c r="E297" t="s">
        <v>98</v>
      </c>
      <c r="F297" t="s">
        <v>46</v>
      </c>
      <c r="G297" t="s">
        <v>47</v>
      </c>
      <c r="H297" t="s">
        <v>175</v>
      </c>
      <c r="I297" t="s">
        <v>176</v>
      </c>
      <c r="J297" t="s">
        <v>37</v>
      </c>
      <c r="K297" t="s">
        <v>162</v>
      </c>
      <c r="L297" t="s">
        <v>1003</v>
      </c>
      <c r="M297" t="s">
        <v>68</v>
      </c>
      <c r="N297">
        <v>3</v>
      </c>
      <c r="O297">
        <v>3476.05</v>
      </c>
      <c r="P297" s="3">
        <v>0.1</v>
      </c>
      <c r="Q297">
        <v>9385.34</v>
      </c>
      <c r="R297">
        <v>5828.54</v>
      </c>
      <c r="S297">
        <v>3556.8</v>
      </c>
      <c r="T297" t="s">
        <v>41</v>
      </c>
      <c r="U297" t="s">
        <v>42</v>
      </c>
      <c r="V297" s="3">
        <f t="shared" si="36"/>
        <v>0.1</v>
      </c>
      <c r="W297">
        <f t="shared" si="37"/>
        <v>9385.3350000000009</v>
      </c>
      <c r="X297">
        <f t="shared" si="38"/>
        <v>3556.795000000001</v>
      </c>
      <c r="Y297" s="4">
        <f t="shared" si="39"/>
        <v>0.37897368607513748</v>
      </c>
      <c r="Z297">
        <f t="shared" si="40"/>
        <v>3</v>
      </c>
      <c r="AA297">
        <f t="shared" si="41"/>
        <v>6</v>
      </c>
      <c r="AB297">
        <f t="shared" si="42"/>
        <v>2025</v>
      </c>
      <c r="AC297" t="str">
        <f t="shared" si="43"/>
        <v>Unique</v>
      </c>
      <c r="AD297" t="str">
        <f t="shared" si="44"/>
        <v>Clean</v>
      </c>
    </row>
    <row r="298" spans="1:30" x14ac:dyDescent="0.3">
      <c r="A298" t="s">
        <v>1004</v>
      </c>
      <c r="B298" s="2">
        <v>45801</v>
      </c>
      <c r="C298" s="2">
        <v>45803</v>
      </c>
      <c r="D298" t="s">
        <v>1005</v>
      </c>
      <c r="E298" t="s">
        <v>98</v>
      </c>
      <c r="F298" t="s">
        <v>104</v>
      </c>
      <c r="G298" t="s">
        <v>34</v>
      </c>
      <c r="H298" t="s">
        <v>246</v>
      </c>
      <c r="I298" t="s">
        <v>247</v>
      </c>
      <c r="J298" t="s">
        <v>50</v>
      </c>
      <c r="K298" t="s">
        <v>66</v>
      </c>
      <c r="L298" t="s">
        <v>1006</v>
      </c>
      <c r="M298" t="s">
        <v>53</v>
      </c>
      <c r="N298">
        <v>6</v>
      </c>
      <c r="O298">
        <v>3495.41</v>
      </c>
      <c r="P298" s="3">
        <v>0.15</v>
      </c>
      <c r="Q298">
        <v>17826.59</v>
      </c>
      <c r="R298">
        <v>10855.35</v>
      </c>
      <c r="S298">
        <v>6971.24</v>
      </c>
      <c r="T298" t="s">
        <v>41</v>
      </c>
      <c r="U298" t="s">
        <v>42</v>
      </c>
      <c r="V298" s="3">
        <f t="shared" si="36"/>
        <v>0.15</v>
      </c>
      <c r="W298">
        <f t="shared" si="37"/>
        <v>17826.591</v>
      </c>
      <c r="X298">
        <f t="shared" si="38"/>
        <v>6971.241</v>
      </c>
      <c r="Y298" s="4">
        <f t="shared" si="39"/>
        <v>0.39105855965394615</v>
      </c>
      <c r="Z298">
        <f t="shared" si="40"/>
        <v>2</v>
      </c>
      <c r="AA298">
        <f t="shared" si="41"/>
        <v>5</v>
      </c>
      <c r="AB298">
        <f t="shared" si="42"/>
        <v>2025</v>
      </c>
      <c r="AC298" t="str">
        <f t="shared" si="43"/>
        <v>Unique</v>
      </c>
      <c r="AD298" t="str">
        <f t="shared" si="44"/>
        <v>Clean</v>
      </c>
    </row>
    <row r="299" spans="1:30" x14ac:dyDescent="0.3">
      <c r="A299" t="s">
        <v>1007</v>
      </c>
      <c r="B299" s="2">
        <v>45594</v>
      </c>
      <c r="C299" s="2">
        <v>45602</v>
      </c>
      <c r="D299" t="s">
        <v>1008</v>
      </c>
      <c r="E299" t="s">
        <v>141</v>
      </c>
      <c r="F299" t="s">
        <v>99</v>
      </c>
      <c r="G299" t="s">
        <v>63</v>
      </c>
      <c r="H299" t="s">
        <v>257</v>
      </c>
      <c r="I299" t="s">
        <v>258</v>
      </c>
      <c r="J299" t="s">
        <v>83</v>
      </c>
      <c r="K299" t="s">
        <v>89</v>
      </c>
      <c r="L299" t="s">
        <v>1009</v>
      </c>
      <c r="M299" t="s">
        <v>53</v>
      </c>
      <c r="N299">
        <v>6</v>
      </c>
      <c r="O299">
        <v>1169.92</v>
      </c>
      <c r="P299" s="3">
        <v>0.15</v>
      </c>
      <c r="Q299">
        <v>5966.59</v>
      </c>
      <c r="R299">
        <v>3994.72</v>
      </c>
      <c r="S299">
        <v>1971.87</v>
      </c>
      <c r="T299" t="s">
        <v>41</v>
      </c>
      <c r="U299" t="s">
        <v>42</v>
      </c>
      <c r="V299" s="3">
        <f t="shared" si="36"/>
        <v>0.15</v>
      </c>
      <c r="W299">
        <f t="shared" si="37"/>
        <v>5966.5920000000006</v>
      </c>
      <c r="X299">
        <f t="shared" si="38"/>
        <v>1971.8720000000008</v>
      </c>
      <c r="Y299" s="4">
        <f t="shared" si="39"/>
        <v>0.33048547646629778</v>
      </c>
      <c r="Z299">
        <f t="shared" si="40"/>
        <v>8</v>
      </c>
      <c r="AA299">
        <f t="shared" si="41"/>
        <v>10</v>
      </c>
      <c r="AB299">
        <f t="shared" si="42"/>
        <v>2024</v>
      </c>
      <c r="AC299" t="str">
        <f t="shared" si="43"/>
        <v>Unique</v>
      </c>
      <c r="AD299" t="str">
        <f t="shared" si="44"/>
        <v>Clean</v>
      </c>
    </row>
    <row r="300" spans="1:30" x14ac:dyDescent="0.3">
      <c r="A300" t="s">
        <v>1010</v>
      </c>
      <c r="B300" s="2">
        <v>45680</v>
      </c>
      <c r="C300" s="2">
        <v>45683</v>
      </c>
      <c r="D300" t="s">
        <v>1011</v>
      </c>
      <c r="E300" t="s">
        <v>56</v>
      </c>
      <c r="F300" t="s">
        <v>33</v>
      </c>
      <c r="G300" t="s">
        <v>63</v>
      </c>
      <c r="H300" t="s">
        <v>194</v>
      </c>
      <c r="I300" t="s">
        <v>195</v>
      </c>
      <c r="J300" t="s">
        <v>83</v>
      </c>
      <c r="K300" t="s">
        <v>89</v>
      </c>
      <c r="L300" t="s">
        <v>1012</v>
      </c>
      <c r="M300" t="s">
        <v>59</v>
      </c>
      <c r="N300">
        <v>7</v>
      </c>
      <c r="O300">
        <v>348.49</v>
      </c>
      <c r="P300" s="3">
        <v>0.2</v>
      </c>
      <c r="Q300">
        <v>1951.54</v>
      </c>
      <c r="R300">
        <v>1609.95</v>
      </c>
      <c r="S300">
        <v>341.59</v>
      </c>
      <c r="T300" t="s">
        <v>164</v>
      </c>
      <c r="U300" t="s">
        <v>112</v>
      </c>
      <c r="V300" s="3">
        <f t="shared" si="36"/>
        <v>0.2</v>
      </c>
      <c r="W300">
        <f t="shared" si="37"/>
        <v>1951.5440000000003</v>
      </c>
      <c r="X300">
        <f t="shared" si="38"/>
        <v>341.59400000000028</v>
      </c>
      <c r="Y300" s="4">
        <f t="shared" si="39"/>
        <v>0.17503781621116421</v>
      </c>
      <c r="Z300">
        <f t="shared" si="40"/>
        <v>3</v>
      </c>
      <c r="AA300">
        <f t="shared" si="41"/>
        <v>1</v>
      </c>
      <c r="AB300">
        <f t="shared" si="42"/>
        <v>2025</v>
      </c>
      <c r="AC300" t="str">
        <f t="shared" si="43"/>
        <v>Unique</v>
      </c>
      <c r="AD300" t="str">
        <f t="shared" si="44"/>
        <v>Warning</v>
      </c>
    </row>
    <row r="301" spans="1:30" x14ac:dyDescent="0.3">
      <c r="A301" t="s">
        <v>1013</v>
      </c>
      <c r="B301" s="2">
        <v>45602</v>
      </c>
      <c r="C301" s="2">
        <v>45608</v>
      </c>
      <c r="D301" t="s">
        <v>1014</v>
      </c>
      <c r="E301" t="s">
        <v>127</v>
      </c>
      <c r="F301" t="s">
        <v>46</v>
      </c>
      <c r="G301" t="s">
        <v>72</v>
      </c>
      <c r="H301" t="s">
        <v>189</v>
      </c>
      <c r="I301" t="s">
        <v>190</v>
      </c>
      <c r="J301" t="s">
        <v>83</v>
      </c>
      <c r="K301" t="s">
        <v>84</v>
      </c>
      <c r="L301" t="s">
        <v>1015</v>
      </c>
      <c r="M301" t="s">
        <v>68</v>
      </c>
      <c r="N301">
        <v>7</v>
      </c>
      <c r="O301">
        <v>1719.05</v>
      </c>
      <c r="P301" s="3">
        <v>0.1</v>
      </c>
      <c r="Q301">
        <v>10830.02</v>
      </c>
      <c r="R301">
        <v>7055.31</v>
      </c>
      <c r="S301">
        <v>3774.71</v>
      </c>
      <c r="T301" t="s">
        <v>41</v>
      </c>
      <c r="U301" t="s">
        <v>42</v>
      </c>
      <c r="V301" s="3">
        <f t="shared" si="36"/>
        <v>0.1</v>
      </c>
      <c r="W301">
        <f t="shared" si="37"/>
        <v>10830.015000000001</v>
      </c>
      <c r="X301">
        <f t="shared" si="38"/>
        <v>3774.7050000000008</v>
      </c>
      <c r="Y301" s="4">
        <f t="shared" si="39"/>
        <v>0.34854106850267524</v>
      </c>
      <c r="Z301">
        <f t="shared" si="40"/>
        <v>6</v>
      </c>
      <c r="AA301">
        <f t="shared" si="41"/>
        <v>11</v>
      </c>
      <c r="AB301">
        <f t="shared" si="42"/>
        <v>2024</v>
      </c>
      <c r="AC301" t="str">
        <f t="shared" si="43"/>
        <v>Unique</v>
      </c>
      <c r="AD301" t="str">
        <f t="shared" si="44"/>
        <v>Clean</v>
      </c>
    </row>
    <row r="302" spans="1:30" x14ac:dyDescent="0.3">
      <c r="A302" t="s">
        <v>1016</v>
      </c>
      <c r="B302" s="2">
        <v>45397</v>
      </c>
      <c r="C302" s="2">
        <v>45405</v>
      </c>
      <c r="D302" t="s">
        <v>1017</v>
      </c>
      <c r="E302" t="s">
        <v>171</v>
      </c>
      <c r="F302" t="s">
        <v>46</v>
      </c>
      <c r="G302" t="s">
        <v>34</v>
      </c>
      <c r="H302" t="s">
        <v>131</v>
      </c>
      <c r="I302" t="s">
        <v>132</v>
      </c>
      <c r="J302" t="s">
        <v>83</v>
      </c>
      <c r="K302" t="s">
        <v>84</v>
      </c>
      <c r="L302" t="s">
        <v>1018</v>
      </c>
      <c r="M302" t="s">
        <v>40</v>
      </c>
      <c r="N302">
        <v>9</v>
      </c>
      <c r="O302">
        <v>3893.74</v>
      </c>
      <c r="P302" s="3">
        <v>0.1</v>
      </c>
      <c r="Q302">
        <v>31539.29</v>
      </c>
      <c r="R302">
        <v>22100.14</v>
      </c>
      <c r="S302">
        <v>9439.15</v>
      </c>
      <c r="T302" t="s">
        <v>41</v>
      </c>
      <c r="U302" t="s">
        <v>42</v>
      </c>
      <c r="V302" s="3">
        <f t="shared" si="36"/>
        <v>0.1</v>
      </c>
      <c r="W302">
        <f t="shared" si="37"/>
        <v>31539.293999999998</v>
      </c>
      <c r="X302">
        <f t="shared" si="38"/>
        <v>9439.1539999999986</v>
      </c>
      <c r="Y302" s="4">
        <f t="shared" si="39"/>
        <v>0.29928234918638313</v>
      </c>
      <c r="Z302">
        <f t="shared" si="40"/>
        <v>8</v>
      </c>
      <c r="AA302">
        <f t="shared" si="41"/>
        <v>4</v>
      </c>
      <c r="AB302">
        <f t="shared" si="42"/>
        <v>2024</v>
      </c>
      <c r="AC302" t="str">
        <f t="shared" si="43"/>
        <v>Unique</v>
      </c>
      <c r="AD302" t="str">
        <f t="shared" si="44"/>
        <v>Clean</v>
      </c>
    </row>
    <row r="303" spans="1:30" x14ac:dyDescent="0.3">
      <c r="A303" t="s">
        <v>1019</v>
      </c>
      <c r="B303" s="2">
        <v>45805</v>
      </c>
      <c r="C303" s="2">
        <v>45809</v>
      </c>
      <c r="D303" t="s">
        <v>1020</v>
      </c>
      <c r="E303" t="s">
        <v>56</v>
      </c>
      <c r="F303" t="s">
        <v>104</v>
      </c>
      <c r="G303" t="s">
        <v>47</v>
      </c>
      <c r="H303" t="s">
        <v>154</v>
      </c>
      <c r="I303" t="s">
        <v>155</v>
      </c>
      <c r="J303" t="s">
        <v>83</v>
      </c>
      <c r="K303" t="s">
        <v>180</v>
      </c>
      <c r="L303" t="s">
        <v>1021</v>
      </c>
      <c r="M303" t="s">
        <v>53</v>
      </c>
      <c r="N303">
        <v>4</v>
      </c>
      <c r="O303">
        <v>1654.11</v>
      </c>
      <c r="P303" s="3">
        <v>0.05</v>
      </c>
      <c r="Q303">
        <v>6285.62</v>
      </c>
      <c r="R303">
        <v>3705.38</v>
      </c>
      <c r="S303">
        <v>2580.2399999999998</v>
      </c>
      <c r="T303" t="s">
        <v>41</v>
      </c>
      <c r="U303" t="s">
        <v>42</v>
      </c>
      <c r="V303" s="3">
        <f t="shared" si="36"/>
        <v>0.05</v>
      </c>
      <c r="W303">
        <f t="shared" si="37"/>
        <v>6285.6179999999995</v>
      </c>
      <c r="X303">
        <f t="shared" si="38"/>
        <v>2580.2379999999994</v>
      </c>
      <c r="Y303" s="4">
        <f t="shared" si="39"/>
        <v>0.41049869718458865</v>
      </c>
      <c r="Z303">
        <f t="shared" si="40"/>
        <v>4</v>
      </c>
      <c r="AA303">
        <f t="shared" si="41"/>
        <v>5</v>
      </c>
      <c r="AB303">
        <f t="shared" si="42"/>
        <v>2025</v>
      </c>
      <c r="AC303" t="str">
        <f t="shared" si="43"/>
        <v>Unique</v>
      </c>
      <c r="AD303" t="str">
        <f t="shared" si="44"/>
        <v>Clean</v>
      </c>
    </row>
    <row r="304" spans="1:30" x14ac:dyDescent="0.3">
      <c r="A304" t="s">
        <v>1022</v>
      </c>
      <c r="B304" s="2">
        <v>45812</v>
      </c>
      <c r="C304" s="2">
        <v>45820</v>
      </c>
      <c r="D304" t="s">
        <v>1023</v>
      </c>
      <c r="E304" t="s">
        <v>88</v>
      </c>
      <c r="F304" t="s">
        <v>33</v>
      </c>
      <c r="G304" t="s">
        <v>72</v>
      </c>
      <c r="H304" t="s">
        <v>199</v>
      </c>
      <c r="I304" t="s">
        <v>200</v>
      </c>
      <c r="J304" t="s">
        <v>37</v>
      </c>
      <c r="K304" t="s">
        <v>133</v>
      </c>
      <c r="L304" t="s">
        <v>1024</v>
      </c>
      <c r="M304" t="s">
        <v>53</v>
      </c>
      <c r="N304">
        <v>2</v>
      </c>
      <c r="O304">
        <v>2703.28</v>
      </c>
      <c r="P304" s="3">
        <v>0.25</v>
      </c>
      <c r="Q304">
        <v>4054.92</v>
      </c>
      <c r="R304">
        <v>2424.83</v>
      </c>
      <c r="S304">
        <v>1630.09</v>
      </c>
      <c r="T304" t="s">
        <v>41</v>
      </c>
      <c r="U304" t="s">
        <v>42</v>
      </c>
      <c r="V304" s="3">
        <f t="shared" si="36"/>
        <v>0.25</v>
      </c>
      <c r="W304">
        <f t="shared" si="37"/>
        <v>4054.92</v>
      </c>
      <c r="X304">
        <f t="shared" si="38"/>
        <v>1630.0900000000001</v>
      </c>
      <c r="Y304" s="4">
        <f t="shared" si="39"/>
        <v>0.40200299882611745</v>
      </c>
      <c r="Z304">
        <f t="shared" si="40"/>
        <v>8</v>
      </c>
      <c r="AA304">
        <f t="shared" si="41"/>
        <v>6</v>
      </c>
      <c r="AB304">
        <f t="shared" si="42"/>
        <v>2025</v>
      </c>
      <c r="AC304" t="str">
        <f t="shared" si="43"/>
        <v>Unique</v>
      </c>
      <c r="AD304" t="str">
        <f t="shared" si="44"/>
        <v>Clean</v>
      </c>
    </row>
    <row r="305" spans="1:30" x14ac:dyDescent="0.3">
      <c r="A305" t="s">
        <v>1025</v>
      </c>
      <c r="B305" s="2">
        <v>45466</v>
      </c>
      <c r="C305" s="2">
        <v>45471</v>
      </c>
      <c r="D305" t="s">
        <v>1026</v>
      </c>
      <c r="E305" t="s">
        <v>171</v>
      </c>
      <c r="F305" t="s">
        <v>104</v>
      </c>
      <c r="G305" t="s">
        <v>72</v>
      </c>
      <c r="H305" t="s">
        <v>189</v>
      </c>
      <c r="I305" t="s">
        <v>190</v>
      </c>
      <c r="J305" t="s">
        <v>50</v>
      </c>
      <c r="K305" t="s">
        <v>75</v>
      </c>
      <c r="L305" t="s">
        <v>1027</v>
      </c>
      <c r="M305" t="s">
        <v>68</v>
      </c>
      <c r="N305">
        <v>2</v>
      </c>
      <c r="O305">
        <v>1313.14</v>
      </c>
      <c r="P305" s="3">
        <v>0.1</v>
      </c>
      <c r="Q305">
        <v>2363.65</v>
      </c>
      <c r="R305">
        <v>1876.1</v>
      </c>
      <c r="S305">
        <v>487.55</v>
      </c>
      <c r="T305" t="s">
        <v>120</v>
      </c>
      <c r="U305" t="s">
        <v>112</v>
      </c>
      <c r="V305" s="3">
        <f t="shared" si="36"/>
        <v>0.1</v>
      </c>
      <c r="W305">
        <f t="shared" si="37"/>
        <v>2363.652</v>
      </c>
      <c r="X305">
        <f t="shared" si="38"/>
        <v>487.55200000000013</v>
      </c>
      <c r="Y305" s="4">
        <f t="shared" si="39"/>
        <v>0.20627063544041174</v>
      </c>
      <c r="Z305">
        <f t="shared" si="40"/>
        <v>5</v>
      </c>
      <c r="AA305">
        <f t="shared" si="41"/>
        <v>6</v>
      </c>
      <c r="AB305">
        <f t="shared" si="42"/>
        <v>2024</v>
      </c>
      <c r="AC305" t="str">
        <f t="shared" si="43"/>
        <v>Unique</v>
      </c>
      <c r="AD305" t="str">
        <f t="shared" si="44"/>
        <v>Clean</v>
      </c>
    </row>
    <row r="306" spans="1:30" x14ac:dyDescent="0.3">
      <c r="A306" t="s">
        <v>1028</v>
      </c>
      <c r="B306" s="2">
        <v>45357</v>
      </c>
      <c r="C306" s="2">
        <v>45364</v>
      </c>
      <c r="D306" t="s">
        <v>1029</v>
      </c>
      <c r="E306" t="s">
        <v>32</v>
      </c>
      <c r="F306" t="s">
        <v>33</v>
      </c>
      <c r="G306" t="s">
        <v>34</v>
      </c>
      <c r="H306" t="s">
        <v>131</v>
      </c>
      <c r="I306" t="s">
        <v>132</v>
      </c>
      <c r="J306" t="s">
        <v>50</v>
      </c>
      <c r="K306" t="s">
        <v>66</v>
      </c>
      <c r="L306" t="s">
        <v>1030</v>
      </c>
      <c r="M306" t="s">
        <v>68</v>
      </c>
      <c r="N306">
        <v>6</v>
      </c>
      <c r="O306">
        <v>2403.0500000000002</v>
      </c>
      <c r="P306" s="3">
        <v>0.1</v>
      </c>
      <c r="Q306">
        <v>12976.47</v>
      </c>
      <c r="R306">
        <v>10019.98</v>
      </c>
      <c r="S306">
        <v>2956.49</v>
      </c>
      <c r="T306" t="s">
        <v>41</v>
      </c>
      <c r="U306" t="s">
        <v>42</v>
      </c>
      <c r="V306" s="3">
        <f t="shared" si="36"/>
        <v>0.1</v>
      </c>
      <c r="W306">
        <f t="shared" si="37"/>
        <v>12976.470000000001</v>
      </c>
      <c r="X306">
        <f t="shared" si="38"/>
        <v>2956.4900000000016</v>
      </c>
      <c r="Y306" s="4">
        <f t="shared" si="39"/>
        <v>0.22783468847845378</v>
      </c>
      <c r="Z306">
        <f t="shared" si="40"/>
        <v>7</v>
      </c>
      <c r="AA306">
        <f t="shared" si="41"/>
        <v>3</v>
      </c>
      <c r="AB306">
        <f t="shared" si="42"/>
        <v>2024</v>
      </c>
      <c r="AC306" t="str">
        <f t="shared" si="43"/>
        <v>Unique</v>
      </c>
      <c r="AD306" t="str">
        <f t="shared" si="44"/>
        <v>Clean</v>
      </c>
    </row>
    <row r="307" spans="1:30" x14ac:dyDescent="0.3">
      <c r="A307" t="s">
        <v>1031</v>
      </c>
      <c r="B307" s="2">
        <v>45413</v>
      </c>
      <c r="C307" s="2">
        <v>45414</v>
      </c>
      <c r="D307" t="s">
        <v>1032</v>
      </c>
      <c r="E307" t="s">
        <v>71</v>
      </c>
      <c r="F307" t="s">
        <v>33</v>
      </c>
      <c r="G307" t="s">
        <v>47</v>
      </c>
      <c r="H307" t="s">
        <v>175</v>
      </c>
      <c r="I307" t="s">
        <v>176</v>
      </c>
      <c r="J307" t="s">
        <v>50</v>
      </c>
      <c r="K307" t="s">
        <v>75</v>
      </c>
      <c r="L307" t="s">
        <v>1033</v>
      </c>
      <c r="M307" t="s">
        <v>59</v>
      </c>
      <c r="N307">
        <v>4</v>
      </c>
      <c r="O307">
        <v>4156.0600000000004</v>
      </c>
      <c r="P307" s="3">
        <v>0.55000000000000004</v>
      </c>
      <c r="Q307">
        <v>13299.39</v>
      </c>
      <c r="R307">
        <v>9851.91</v>
      </c>
      <c r="S307">
        <v>3447.48</v>
      </c>
      <c r="T307" t="s">
        <v>41</v>
      </c>
      <c r="U307" t="s">
        <v>77</v>
      </c>
      <c r="V307" s="3">
        <f t="shared" si="36"/>
        <v>0.55000000000000004</v>
      </c>
      <c r="W307">
        <f t="shared" si="37"/>
        <v>7480.9080000000004</v>
      </c>
      <c r="X307">
        <f t="shared" si="38"/>
        <v>-2371.0019999999995</v>
      </c>
      <c r="Y307" s="4">
        <f t="shared" si="39"/>
        <v>-0.31694040349112695</v>
      </c>
      <c r="Z307">
        <f t="shared" si="40"/>
        <v>1</v>
      </c>
      <c r="AA307">
        <f t="shared" si="41"/>
        <v>5</v>
      </c>
      <c r="AB307">
        <f t="shared" si="42"/>
        <v>2024</v>
      </c>
      <c r="AC307" t="str">
        <f t="shared" si="43"/>
        <v>Unique</v>
      </c>
      <c r="AD307" t="str">
        <f t="shared" si="44"/>
        <v>Warning</v>
      </c>
    </row>
    <row r="308" spans="1:30" x14ac:dyDescent="0.3">
      <c r="A308" t="s">
        <v>1034</v>
      </c>
      <c r="B308" s="2">
        <v>45708</v>
      </c>
      <c r="C308" s="2">
        <v>45711</v>
      </c>
      <c r="D308" t="s">
        <v>1035</v>
      </c>
      <c r="E308" t="s">
        <v>137</v>
      </c>
      <c r="F308" t="s">
        <v>33</v>
      </c>
      <c r="G308" t="s">
        <v>34</v>
      </c>
      <c r="H308" t="s">
        <v>35</v>
      </c>
      <c r="I308" t="s">
        <v>36</v>
      </c>
      <c r="J308" t="s">
        <v>83</v>
      </c>
      <c r="K308" t="s">
        <v>180</v>
      </c>
      <c r="L308" t="s">
        <v>1036</v>
      </c>
      <c r="M308" t="s">
        <v>40</v>
      </c>
      <c r="N308">
        <v>4</v>
      </c>
      <c r="O308">
        <v>3673.11</v>
      </c>
      <c r="P308" s="3">
        <v>0</v>
      </c>
      <c r="Q308">
        <v>14692.44</v>
      </c>
      <c r="R308">
        <v>10082.19</v>
      </c>
      <c r="S308">
        <v>4610.25</v>
      </c>
      <c r="T308" t="s">
        <v>41</v>
      </c>
      <c r="U308" t="s">
        <v>42</v>
      </c>
      <c r="V308" s="3">
        <f t="shared" si="36"/>
        <v>0</v>
      </c>
      <c r="W308">
        <f t="shared" si="37"/>
        <v>14692.44</v>
      </c>
      <c r="X308">
        <f t="shared" si="38"/>
        <v>4610.25</v>
      </c>
      <c r="Y308" s="4">
        <f t="shared" si="39"/>
        <v>0.31378382351740075</v>
      </c>
      <c r="Z308">
        <f t="shared" si="40"/>
        <v>3</v>
      </c>
      <c r="AA308">
        <f t="shared" si="41"/>
        <v>2</v>
      </c>
      <c r="AB308">
        <f t="shared" si="42"/>
        <v>2025</v>
      </c>
      <c r="AC308" t="str">
        <f t="shared" si="43"/>
        <v>Unique</v>
      </c>
      <c r="AD308" t="str">
        <f t="shared" si="44"/>
        <v>Clean</v>
      </c>
    </row>
    <row r="309" spans="1:30" x14ac:dyDescent="0.3">
      <c r="A309" t="s">
        <v>1037</v>
      </c>
      <c r="B309" s="2">
        <v>45850</v>
      </c>
      <c r="C309" s="2">
        <v>45857</v>
      </c>
      <c r="D309" t="s">
        <v>1038</v>
      </c>
      <c r="E309" t="s">
        <v>71</v>
      </c>
      <c r="F309" t="s">
        <v>99</v>
      </c>
      <c r="G309" t="s">
        <v>34</v>
      </c>
      <c r="H309" t="s">
        <v>145</v>
      </c>
      <c r="I309" t="s">
        <v>146</v>
      </c>
      <c r="J309" t="s">
        <v>50</v>
      </c>
      <c r="K309" t="s">
        <v>51</v>
      </c>
      <c r="L309" t="s">
        <v>1039</v>
      </c>
      <c r="M309" t="s">
        <v>59</v>
      </c>
      <c r="N309">
        <v>9</v>
      </c>
      <c r="O309">
        <v>4093.04</v>
      </c>
      <c r="P309" s="3">
        <v>0.2</v>
      </c>
      <c r="Q309">
        <v>29469.89</v>
      </c>
      <c r="R309">
        <v>18935.509999999998</v>
      </c>
      <c r="S309">
        <v>10534.38</v>
      </c>
      <c r="T309" t="s">
        <v>120</v>
      </c>
      <c r="U309" t="s">
        <v>77</v>
      </c>
      <c r="V309" s="3">
        <f t="shared" si="36"/>
        <v>0.2</v>
      </c>
      <c r="W309">
        <f t="shared" si="37"/>
        <v>29469.888000000003</v>
      </c>
      <c r="X309">
        <f t="shared" si="38"/>
        <v>10534.378000000004</v>
      </c>
      <c r="Y309" s="4">
        <f t="shared" si="39"/>
        <v>0.3574624375905332</v>
      </c>
      <c r="Z309">
        <f t="shared" si="40"/>
        <v>7</v>
      </c>
      <c r="AA309">
        <f t="shared" si="41"/>
        <v>7</v>
      </c>
      <c r="AB309">
        <f t="shared" si="42"/>
        <v>2025</v>
      </c>
      <c r="AC309" t="str">
        <f t="shared" si="43"/>
        <v>Unique</v>
      </c>
      <c r="AD309" t="str">
        <f t="shared" si="44"/>
        <v>Warning</v>
      </c>
    </row>
    <row r="310" spans="1:30" x14ac:dyDescent="0.3">
      <c r="A310" t="s">
        <v>1040</v>
      </c>
      <c r="B310" s="2">
        <v>45821</v>
      </c>
      <c r="C310" s="2">
        <v>45827</v>
      </c>
      <c r="D310" t="s">
        <v>1041</v>
      </c>
      <c r="E310" t="s">
        <v>150</v>
      </c>
      <c r="F310" t="s">
        <v>33</v>
      </c>
      <c r="G310" t="s">
        <v>34</v>
      </c>
      <c r="H310" t="s">
        <v>35</v>
      </c>
      <c r="I310" t="s">
        <v>36</v>
      </c>
      <c r="J310" t="s">
        <v>50</v>
      </c>
      <c r="K310" t="s">
        <v>51</v>
      </c>
      <c r="L310" t="s">
        <v>1042</v>
      </c>
      <c r="M310" t="s">
        <v>59</v>
      </c>
      <c r="N310">
        <v>4</v>
      </c>
      <c r="O310">
        <v>731.57</v>
      </c>
      <c r="P310" s="3">
        <v>0.2</v>
      </c>
      <c r="Q310">
        <v>2341.02</v>
      </c>
      <c r="R310">
        <v>1565.49</v>
      </c>
      <c r="S310">
        <v>775.53</v>
      </c>
      <c r="T310" t="s">
        <v>41</v>
      </c>
      <c r="U310" t="s">
        <v>42</v>
      </c>
      <c r="V310" s="3">
        <f t="shared" si="36"/>
        <v>0.2</v>
      </c>
      <c r="W310">
        <f t="shared" si="37"/>
        <v>2341.0240000000003</v>
      </c>
      <c r="X310">
        <f t="shared" si="38"/>
        <v>775.53400000000033</v>
      </c>
      <c r="Y310" s="4">
        <f t="shared" si="39"/>
        <v>0.33127981601213835</v>
      </c>
      <c r="Z310">
        <f t="shared" si="40"/>
        <v>6</v>
      </c>
      <c r="AA310">
        <f t="shared" si="41"/>
        <v>6</v>
      </c>
      <c r="AB310">
        <f t="shared" si="42"/>
        <v>2025</v>
      </c>
      <c r="AC310" t="str">
        <f t="shared" si="43"/>
        <v>Unique</v>
      </c>
      <c r="AD310" t="str">
        <f t="shared" si="44"/>
        <v>Clean</v>
      </c>
    </row>
    <row r="311" spans="1:30" x14ac:dyDescent="0.3">
      <c r="A311" t="s">
        <v>1043</v>
      </c>
      <c r="B311" s="2">
        <v>45493</v>
      </c>
      <c r="C311" s="2">
        <v>45495</v>
      </c>
      <c r="D311" t="s">
        <v>1044</v>
      </c>
      <c r="E311" t="s">
        <v>71</v>
      </c>
      <c r="F311" t="s">
        <v>33</v>
      </c>
      <c r="G311" t="s">
        <v>63</v>
      </c>
      <c r="H311" t="s">
        <v>257</v>
      </c>
      <c r="I311" t="s">
        <v>258</v>
      </c>
      <c r="J311" t="s">
        <v>50</v>
      </c>
      <c r="K311" t="s">
        <v>51</v>
      </c>
      <c r="L311" t="s">
        <v>1045</v>
      </c>
      <c r="M311" t="s">
        <v>59</v>
      </c>
      <c r="N311">
        <v>7</v>
      </c>
      <c r="O311">
        <v>2060.73</v>
      </c>
      <c r="P311" s="3">
        <v>0.1</v>
      </c>
      <c r="Q311">
        <v>12982.6</v>
      </c>
      <c r="R311">
        <v>7246.36</v>
      </c>
      <c r="S311">
        <v>5736.24</v>
      </c>
      <c r="T311" t="s">
        <v>41</v>
      </c>
      <c r="U311" t="s">
        <v>77</v>
      </c>
      <c r="V311" s="3">
        <f t="shared" si="36"/>
        <v>0.1</v>
      </c>
      <c r="W311">
        <f t="shared" si="37"/>
        <v>12982.599</v>
      </c>
      <c r="X311">
        <f t="shared" si="38"/>
        <v>5736.2390000000005</v>
      </c>
      <c r="Y311" s="4">
        <f t="shared" si="39"/>
        <v>0.441840574448922</v>
      </c>
      <c r="Z311">
        <f t="shared" si="40"/>
        <v>2</v>
      </c>
      <c r="AA311">
        <f t="shared" si="41"/>
        <v>7</v>
      </c>
      <c r="AB311">
        <f t="shared" si="42"/>
        <v>2024</v>
      </c>
      <c r="AC311" t="str">
        <f t="shared" si="43"/>
        <v>Unique</v>
      </c>
      <c r="AD311" t="str">
        <f t="shared" si="44"/>
        <v>Warning</v>
      </c>
    </row>
    <row r="312" spans="1:30" x14ac:dyDescent="0.3">
      <c r="A312" t="s">
        <v>1046</v>
      </c>
      <c r="B312" s="2">
        <v>45477</v>
      </c>
      <c r="C312" s="2">
        <v>45481</v>
      </c>
      <c r="D312" t="s">
        <v>1047</v>
      </c>
      <c r="E312" t="s">
        <v>150</v>
      </c>
      <c r="F312" t="s">
        <v>46</v>
      </c>
      <c r="G312" t="s">
        <v>63</v>
      </c>
      <c r="H312" t="s">
        <v>257</v>
      </c>
      <c r="I312" t="s">
        <v>258</v>
      </c>
      <c r="J312" t="s">
        <v>83</v>
      </c>
      <c r="K312" t="s">
        <v>284</v>
      </c>
      <c r="L312" t="s">
        <v>1048</v>
      </c>
      <c r="M312" t="s">
        <v>59</v>
      </c>
      <c r="N312">
        <v>8</v>
      </c>
      <c r="O312">
        <v>2034.25</v>
      </c>
      <c r="P312" s="3">
        <v>0</v>
      </c>
      <c r="Q312">
        <v>16274</v>
      </c>
      <c r="R312">
        <v>9424.25</v>
      </c>
      <c r="S312">
        <v>6849.75</v>
      </c>
      <c r="T312" t="s">
        <v>41</v>
      </c>
      <c r="U312" t="s">
        <v>42</v>
      </c>
      <c r="V312" s="3">
        <f t="shared" si="36"/>
        <v>0</v>
      </c>
      <c r="W312">
        <f t="shared" si="37"/>
        <v>16274</v>
      </c>
      <c r="X312">
        <f t="shared" si="38"/>
        <v>6849.75</v>
      </c>
      <c r="Y312" s="4">
        <f t="shared" si="39"/>
        <v>0.42090143787636719</v>
      </c>
      <c r="Z312">
        <f t="shared" si="40"/>
        <v>4</v>
      </c>
      <c r="AA312">
        <f t="shared" si="41"/>
        <v>7</v>
      </c>
      <c r="AB312">
        <f t="shared" si="42"/>
        <v>2024</v>
      </c>
      <c r="AC312" t="str">
        <f t="shared" si="43"/>
        <v>Unique</v>
      </c>
      <c r="AD312" t="str">
        <f t="shared" si="44"/>
        <v>Clean</v>
      </c>
    </row>
    <row r="313" spans="1:30" x14ac:dyDescent="0.3">
      <c r="A313" t="s">
        <v>1049</v>
      </c>
      <c r="B313" s="2">
        <v>45409</v>
      </c>
      <c r="C313" s="2">
        <v>45414</v>
      </c>
      <c r="D313" t="s">
        <v>1050</v>
      </c>
      <c r="E313" t="s">
        <v>45</v>
      </c>
      <c r="F313" t="s">
        <v>99</v>
      </c>
      <c r="G313" t="s">
        <v>63</v>
      </c>
      <c r="H313" t="s">
        <v>184</v>
      </c>
      <c r="I313" t="s">
        <v>185</v>
      </c>
      <c r="J313" t="s">
        <v>37</v>
      </c>
      <c r="K313" t="s">
        <v>162</v>
      </c>
      <c r="L313" t="s">
        <v>1051</v>
      </c>
      <c r="M313" t="s">
        <v>40</v>
      </c>
      <c r="N313">
        <v>5</v>
      </c>
      <c r="O313">
        <v>554.04</v>
      </c>
      <c r="P313" s="3">
        <v>0.1</v>
      </c>
      <c r="Q313">
        <v>2493.1799999999998</v>
      </c>
      <c r="R313">
        <v>1764</v>
      </c>
      <c r="S313">
        <v>729.18</v>
      </c>
      <c r="T313" t="s">
        <v>41</v>
      </c>
      <c r="U313" t="s">
        <v>42</v>
      </c>
      <c r="V313" s="3">
        <f t="shared" si="36"/>
        <v>0.1</v>
      </c>
      <c r="W313">
        <f t="shared" si="37"/>
        <v>2493.1799999999998</v>
      </c>
      <c r="X313">
        <f t="shared" si="38"/>
        <v>729.17999999999984</v>
      </c>
      <c r="Y313" s="4">
        <f t="shared" si="39"/>
        <v>0.29246985777200196</v>
      </c>
      <c r="Z313">
        <f t="shared" si="40"/>
        <v>5</v>
      </c>
      <c r="AA313">
        <f t="shared" si="41"/>
        <v>4</v>
      </c>
      <c r="AB313">
        <f t="shared" si="42"/>
        <v>2024</v>
      </c>
      <c r="AC313" t="str">
        <f t="shared" si="43"/>
        <v>Unique</v>
      </c>
      <c r="AD313" t="str">
        <f t="shared" si="44"/>
        <v>Clean</v>
      </c>
    </row>
    <row r="314" spans="1:30" x14ac:dyDescent="0.3">
      <c r="A314" t="s">
        <v>1052</v>
      </c>
      <c r="B314" s="2">
        <v>45504</v>
      </c>
      <c r="C314" s="2">
        <v>45508</v>
      </c>
      <c r="D314" t="s">
        <v>1053</v>
      </c>
      <c r="E314" t="s">
        <v>32</v>
      </c>
      <c r="F314" t="s">
        <v>46</v>
      </c>
      <c r="G314" t="s">
        <v>47</v>
      </c>
      <c r="H314" t="s">
        <v>175</v>
      </c>
      <c r="I314" t="s">
        <v>176</v>
      </c>
      <c r="J314" t="s">
        <v>83</v>
      </c>
      <c r="K314" t="s">
        <v>180</v>
      </c>
      <c r="L314" t="s">
        <v>1054</v>
      </c>
      <c r="M314" t="s">
        <v>68</v>
      </c>
      <c r="N314">
        <v>8</v>
      </c>
      <c r="O314">
        <v>2614.7399999999998</v>
      </c>
      <c r="P314" s="3"/>
      <c r="Q314">
        <v>15688.44</v>
      </c>
      <c r="R314">
        <v>10047.33</v>
      </c>
      <c r="S314">
        <v>5641.11</v>
      </c>
      <c r="T314" t="s">
        <v>41</v>
      </c>
      <c r="U314" t="s">
        <v>77</v>
      </c>
      <c r="V314" s="3">
        <f t="shared" si="36"/>
        <v>0</v>
      </c>
      <c r="W314">
        <f t="shared" si="37"/>
        <v>20917.919999999998</v>
      </c>
      <c r="X314">
        <f t="shared" si="38"/>
        <v>10870.589999999998</v>
      </c>
      <c r="Y314" s="4">
        <f t="shared" si="39"/>
        <v>0.5196783427797792</v>
      </c>
      <c r="Z314">
        <f t="shared" si="40"/>
        <v>4</v>
      </c>
      <c r="AA314">
        <f t="shared" si="41"/>
        <v>7</v>
      </c>
      <c r="AB314">
        <f t="shared" si="42"/>
        <v>2024</v>
      </c>
      <c r="AC314" t="str">
        <f t="shared" si="43"/>
        <v>Unique</v>
      </c>
      <c r="AD314" t="str">
        <f t="shared" si="44"/>
        <v>Warning</v>
      </c>
    </row>
    <row r="315" spans="1:30" x14ac:dyDescent="0.3">
      <c r="A315" t="s">
        <v>1055</v>
      </c>
      <c r="B315" s="2">
        <v>45807</v>
      </c>
      <c r="C315" s="2">
        <v>45808</v>
      </c>
      <c r="D315" t="s">
        <v>1056</v>
      </c>
      <c r="E315" t="s">
        <v>127</v>
      </c>
      <c r="F315" t="s">
        <v>99</v>
      </c>
      <c r="G315" t="s">
        <v>34</v>
      </c>
      <c r="H315" t="s">
        <v>145</v>
      </c>
      <c r="I315" t="s">
        <v>146</v>
      </c>
      <c r="J315" t="s">
        <v>83</v>
      </c>
      <c r="K315" t="s">
        <v>180</v>
      </c>
      <c r="L315" t="s">
        <v>1057</v>
      </c>
      <c r="M315" t="s">
        <v>59</v>
      </c>
      <c r="N315">
        <v>8</v>
      </c>
      <c r="O315">
        <v>2081.4299999999998</v>
      </c>
      <c r="P315" s="3">
        <v>0.25</v>
      </c>
      <c r="Q315">
        <v>12488.58</v>
      </c>
      <c r="R315">
        <v>10717.4</v>
      </c>
      <c r="S315">
        <v>1771.18</v>
      </c>
      <c r="T315" t="s">
        <v>111</v>
      </c>
      <c r="U315" t="s">
        <v>77</v>
      </c>
      <c r="V315" s="3">
        <f t="shared" si="36"/>
        <v>0.25</v>
      </c>
      <c r="W315">
        <f t="shared" si="37"/>
        <v>12488.579999999998</v>
      </c>
      <c r="X315">
        <f t="shared" si="38"/>
        <v>1771.1799999999985</v>
      </c>
      <c r="Y315" s="4">
        <f t="shared" si="39"/>
        <v>0.14182397037933847</v>
      </c>
      <c r="Z315">
        <f t="shared" si="40"/>
        <v>1</v>
      </c>
      <c r="AA315">
        <f t="shared" si="41"/>
        <v>5</v>
      </c>
      <c r="AB315">
        <f t="shared" si="42"/>
        <v>2025</v>
      </c>
      <c r="AC315" t="str">
        <f t="shared" si="43"/>
        <v>Unique</v>
      </c>
      <c r="AD315" t="str">
        <f t="shared" si="44"/>
        <v>Warning</v>
      </c>
    </row>
    <row r="316" spans="1:30" x14ac:dyDescent="0.3">
      <c r="A316" t="s">
        <v>1058</v>
      </c>
      <c r="B316" s="2">
        <v>45795</v>
      </c>
      <c r="C316" s="2">
        <v>45797</v>
      </c>
      <c r="D316" t="s">
        <v>1059</v>
      </c>
      <c r="E316" t="s">
        <v>56</v>
      </c>
      <c r="F316" t="s">
        <v>99</v>
      </c>
      <c r="G316" t="s">
        <v>72</v>
      </c>
      <c r="H316" t="s">
        <v>81</v>
      </c>
      <c r="I316" t="s">
        <v>82</v>
      </c>
      <c r="J316" t="s">
        <v>37</v>
      </c>
      <c r="K316" t="s">
        <v>100</v>
      </c>
      <c r="L316" t="s">
        <v>1060</v>
      </c>
      <c r="M316" t="s">
        <v>68</v>
      </c>
      <c r="N316">
        <v>9</v>
      </c>
      <c r="O316">
        <v>847.76</v>
      </c>
      <c r="P316" s="3">
        <v>0.15</v>
      </c>
      <c r="Q316">
        <v>6485.36</v>
      </c>
      <c r="R316">
        <v>5376.17</v>
      </c>
      <c r="S316">
        <v>1109.19</v>
      </c>
      <c r="T316" t="s">
        <v>164</v>
      </c>
      <c r="U316" t="s">
        <v>112</v>
      </c>
      <c r="V316" s="3">
        <f t="shared" si="36"/>
        <v>0.15</v>
      </c>
      <c r="W316">
        <f t="shared" si="37"/>
        <v>6485.3639999999996</v>
      </c>
      <c r="X316">
        <f t="shared" si="38"/>
        <v>1109.1939999999995</v>
      </c>
      <c r="Y316" s="4">
        <f t="shared" si="39"/>
        <v>0.17103033846673826</v>
      </c>
      <c r="Z316">
        <f t="shared" si="40"/>
        <v>2</v>
      </c>
      <c r="AA316">
        <f t="shared" si="41"/>
        <v>5</v>
      </c>
      <c r="AB316">
        <f t="shared" si="42"/>
        <v>2025</v>
      </c>
      <c r="AC316" t="str">
        <f t="shared" si="43"/>
        <v>Conflict - Review</v>
      </c>
      <c r="AD316" t="str">
        <f t="shared" si="44"/>
        <v>Invalid</v>
      </c>
    </row>
    <row r="317" spans="1:30" x14ac:dyDescent="0.3">
      <c r="A317" t="s">
        <v>1061</v>
      </c>
      <c r="B317" s="2">
        <v>45475</v>
      </c>
      <c r="C317" s="2">
        <v>45481</v>
      </c>
      <c r="D317" t="s">
        <v>1062</v>
      </c>
      <c r="E317" t="s">
        <v>150</v>
      </c>
      <c r="F317" t="s">
        <v>33</v>
      </c>
      <c r="G317" t="s">
        <v>34</v>
      </c>
      <c r="H317" t="s">
        <v>360</v>
      </c>
      <c r="I317" t="s">
        <v>361</v>
      </c>
      <c r="J317" t="s">
        <v>37</v>
      </c>
      <c r="K317" t="s">
        <v>38</v>
      </c>
      <c r="L317" t="s">
        <v>1063</v>
      </c>
      <c r="M317" t="s">
        <v>68</v>
      </c>
      <c r="N317">
        <v>9</v>
      </c>
      <c r="O317">
        <v>3450.4</v>
      </c>
      <c r="P317" s="3">
        <v>0.05</v>
      </c>
      <c r="Q317">
        <v>29500.92</v>
      </c>
      <c r="R317">
        <v>17989.68</v>
      </c>
      <c r="S317">
        <v>11511.24</v>
      </c>
      <c r="T317" t="s">
        <v>120</v>
      </c>
      <c r="U317" t="s">
        <v>112</v>
      </c>
      <c r="V317" s="3">
        <f t="shared" si="36"/>
        <v>0.05</v>
      </c>
      <c r="W317">
        <f t="shared" si="37"/>
        <v>29500.920000000002</v>
      </c>
      <c r="X317">
        <f t="shared" si="38"/>
        <v>11511.240000000002</v>
      </c>
      <c r="Y317" s="4">
        <f t="shared" si="39"/>
        <v>0.39019935649464493</v>
      </c>
      <c r="Z317">
        <f t="shared" si="40"/>
        <v>6</v>
      </c>
      <c r="AA317">
        <f t="shared" si="41"/>
        <v>7</v>
      </c>
      <c r="AB317">
        <f t="shared" si="42"/>
        <v>2024</v>
      </c>
      <c r="AC317" t="str">
        <f t="shared" si="43"/>
        <v>Unique</v>
      </c>
      <c r="AD317" t="str">
        <f t="shared" si="44"/>
        <v>Clean</v>
      </c>
    </row>
    <row r="318" spans="1:30" x14ac:dyDescent="0.3">
      <c r="A318" t="s">
        <v>1064</v>
      </c>
      <c r="B318" s="2">
        <v>45338</v>
      </c>
      <c r="C318" s="2">
        <v>45340</v>
      </c>
      <c r="D318" t="s">
        <v>1065</v>
      </c>
      <c r="E318" t="s">
        <v>32</v>
      </c>
      <c r="F318" t="s">
        <v>99</v>
      </c>
      <c r="G318" t="s">
        <v>34</v>
      </c>
      <c r="H318" t="s">
        <v>131</v>
      </c>
      <c r="I318" t="s">
        <v>132</v>
      </c>
      <c r="J318" t="s">
        <v>37</v>
      </c>
      <c r="K318" t="s">
        <v>100</v>
      </c>
      <c r="L318" t="s">
        <v>1066</v>
      </c>
      <c r="M318" t="s">
        <v>68</v>
      </c>
      <c r="N318">
        <v>2</v>
      </c>
      <c r="O318">
        <v>1947.53</v>
      </c>
      <c r="P318" s="3">
        <v>0.2</v>
      </c>
      <c r="Q318">
        <v>3116.05</v>
      </c>
      <c r="R318">
        <v>1956.63</v>
      </c>
      <c r="S318">
        <v>1159.42</v>
      </c>
      <c r="T318" t="s">
        <v>41</v>
      </c>
      <c r="U318" t="s">
        <v>77</v>
      </c>
      <c r="V318" s="3">
        <f t="shared" si="36"/>
        <v>0.2</v>
      </c>
      <c r="W318">
        <f t="shared" si="37"/>
        <v>3116.0480000000002</v>
      </c>
      <c r="X318">
        <f t="shared" si="38"/>
        <v>1159.4180000000001</v>
      </c>
      <c r="Y318" s="4">
        <f t="shared" si="39"/>
        <v>0.37207963420332424</v>
      </c>
      <c r="Z318">
        <f t="shared" si="40"/>
        <v>2</v>
      </c>
      <c r="AA318">
        <f t="shared" si="41"/>
        <v>2</v>
      </c>
      <c r="AB318">
        <f t="shared" si="42"/>
        <v>2024</v>
      </c>
      <c r="AC318" t="str">
        <f t="shared" si="43"/>
        <v>Unique</v>
      </c>
      <c r="AD318" t="str">
        <f t="shared" si="44"/>
        <v>Warning</v>
      </c>
    </row>
    <row r="319" spans="1:30" x14ac:dyDescent="0.3">
      <c r="A319" t="s">
        <v>1067</v>
      </c>
      <c r="B319" s="2">
        <v>45898</v>
      </c>
      <c r="C319" s="2">
        <v>45904</v>
      </c>
      <c r="D319" t="s">
        <v>1068</v>
      </c>
      <c r="E319" t="s">
        <v>88</v>
      </c>
      <c r="F319" t="s">
        <v>99</v>
      </c>
      <c r="G319" t="s">
        <v>63</v>
      </c>
      <c r="H319" t="s">
        <v>194</v>
      </c>
      <c r="I319" t="s">
        <v>195</v>
      </c>
      <c r="J319" t="s">
        <v>50</v>
      </c>
      <c r="K319" t="s">
        <v>51</v>
      </c>
      <c r="L319" t="s">
        <v>1069</v>
      </c>
      <c r="M319" t="s">
        <v>59</v>
      </c>
      <c r="N319">
        <v>9</v>
      </c>
      <c r="O319">
        <v>2996.97</v>
      </c>
      <c r="P319" s="3">
        <v>0.15</v>
      </c>
      <c r="Q319">
        <v>22926.82</v>
      </c>
      <c r="R319">
        <v>14621.59</v>
      </c>
      <c r="S319">
        <v>8305.23</v>
      </c>
      <c r="T319" t="s">
        <v>41</v>
      </c>
      <c r="U319" t="s">
        <v>42</v>
      </c>
      <c r="V319" s="3">
        <f t="shared" si="36"/>
        <v>0.15</v>
      </c>
      <c r="W319">
        <f t="shared" si="37"/>
        <v>22926.820499999998</v>
      </c>
      <c r="X319">
        <f t="shared" si="38"/>
        <v>8305.2304999999978</v>
      </c>
      <c r="Y319" s="4">
        <f t="shared" si="39"/>
        <v>0.36224955396671765</v>
      </c>
      <c r="Z319">
        <f t="shared" si="40"/>
        <v>6</v>
      </c>
      <c r="AA319">
        <f t="shared" si="41"/>
        <v>8</v>
      </c>
      <c r="AB319">
        <f t="shared" si="42"/>
        <v>2025</v>
      </c>
      <c r="AC319" t="str">
        <f t="shared" si="43"/>
        <v>Unique</v>
      </c>
      <c r="AD319" t="str">
        <f t="shared" si="44"/>
        <v>Clean</v>
      </c>
    </row>
    <row r="320" spans="1:30" x14ac:dyDescent="0.3">
      <c r="A320" t="s">
        <v>1070</v>
      </c>
      <c r="B320" s="2">
        <v>45407</v>
      </c>
      <c r="C320" s="2">
        <v>45412</v>
      </c>
      <c r="D320" t="s">
        <v>1071</v>
      </c>
      <c r="E320" t="s">
        <v>45</v>
      </c>
      <c r="F320" t="s">
        <v>46</v>
      </c>
      <c r="G320" t="s">
        <v>63</v>
      </c>
      <c r="H320" t="s">
        <v>184</v>
      </c>
      <c r="I320" t="s">
        <v>185</v>
      </c>
      <c r="J320" t="s">
        <v>83</v>
      </c>
      <c r="K320" t="s">
        <v>180</v>
      </c>
      <c r="L320" t="s">
        <v>1072</v>
      </c>
      <c r="M320" t="s">
        <v>68</v>
      </c>
      <c r="N320">
        <v>3</v>
      </c>
      <c r="O320">
        <v>4149.46</v>
      </c>
      <c r="P320" s="3">
        <v>0.1</v>
      </c>
      <c r="Q320">
        <v>11203.54</v>
      </c>
      <c r="R320">
        <v>8452.93</v>
      </c>
      <c r="S320">
        <v>2750.61</v>
      </c>
      <c r="T320" t="s">
        <v>41</v>
      </c>
      <c r="U320" t="s">
        <v>42</v>
      </c>
      <c r="V320" s="3">
        <f t="shared" si="36"/>
        <v>0.1</v>
      </c>
      <c r="W320">
        <f t="shared" si="37"/>
        <v>11203.542000000001</v>
      </c>
      <c r="X320">
        <f t="shared" si="38"/>
        <v>2750.612000000001</v>
      </c>
      <c r="Y320" s="4">
        <f t="shared" si="39"/>
        <v>0.24551271374713468</v>
      </c>
      <c r="Z320">
        <f t="shared" si="40"/>
        <v>5</v>
      </c>
      <c r="AA320">
        <f t="shared" si="41"/>
        <v>4</v>
      </c>
      <c r="AB320">
        <f t="shared" si="42"/>
        <v>2024</v>
      </c>
      <c r="AC320" t="str">
        <f t="shared" si="43"/>
        <v>Unique</v>
      </c>
      <c r="AD320" t="str">
        <f t="shared" si="44"/>
        <v>Clean</v>
      </c>
    </row>
    <row r="321" spans="1:30" x14ac:dyDescent="0.3">
      <c r="A321" t="s">
        <v>1073</v>
      </c>
      <c r="B321" s="2">
        <v>45525</v>
      </c>
      <c r="C321" s="2">
        <v>45529</v>
      </c>
      <c r="D321" t="s">
        <v>1074</v>
      </c>
      <c r="E321" t="s">
        <v>171</v>
      </c>
      <c r="F321" t="s">
        <v>33</v>
      </c>
      <c r="G321" t="s">
        <v>72</v>
      </c>
      <c r="H321" t="s">
        <v>189</v>
      </c>
      <c r="I321" t="s">
        <v>190</v>
      </c>
      <c r="J321" t="s">
        <v>37</v>
      </c>
      <c r="K321" t="s">
        <v>162</v>
      </c>
      <c r="L321" t="s">
        <v>1075</v>
      </c>
      <c r="M321" t="s">
        <v>59</v>
      </c>
      <c r="N321">
        <v>1</v>
      </c>
      <c r="O321">
        <v>270.27999999999997</v>
      </c>
      <c r="P321" s="3">
        <v>0</v>
      </c>
      <c r="Q321">
        <v>270.27999999999997</v>
      </c>
      <c r="R321">
        <v>156.34</v>
      </c>
      <c r="S321">
        <v>113.94</v>
      </c>
      <c r="T321" t="s">
        <v>41</v>
      </c>
      <c r="U321" t="s">
        <v>42</v>
      </c>
      <c r="V321" s="3">
        <f t="shared" si="36"/>
        <v>0</v>
      </c>
      <c r="W321">
        <f t="shared" si="37"/>
        <v>270.27999999999997</v>
      </c>
      <c r="X321">
        <f t="shared" si="38"/>
        <v>113.93999999999997</v>
      </c>
      <c r="Y321" s="4">
        <f t="shared" si="39"/>
        <v>0.42156282373834536</v>
      </c>
      <c r="Z321">
        <f t="shared" si="40"/>
        <v>4</v>
      </c>
      <c r="AA321">
        <f t="shared" si="41"/>
        <v>8</v>
      </c>
      <c r="AB321">
        <f t="shared" si="42"/>
        <v>2024</v>
      </c>
      <c r="AC321" t="str">
        <f t="shared" si="43"/>
        <v>Unique</v>
      </c>
      <c r="AD321" t="str">
        <f t="shared" si="44"/>
        <v>Clean</v>
      </c>
    </row>
    <row r="322" spans="1:30" x14ac:dyDescent="0.3">
      <c r="A322" t="s">
        <v>1076</v>
      </c>
      <c r="B322" s="2">
        <v>45630</v>
      </c>
      <c r="C322" s="2">
        <v>45632</v>
      </c>
      <c r="D322" t="s">
        <v>1077</v>
      </c>
      <c r="E322" t="s">
        <v>137</v>
      </c>
      <c r="F322" t="s">
        <v>104</v>
      </c>
      <c r="G322" t="s">
        <v>47</v>
      </c>
      <c r="H322" t="s">
        <v>108</v>
      </c>
      <c r="I322" t="s">
        <v>109</v>
      </c>
      <c r="J322" t="s">
        <v>37</v>
      </c>
      <c r="K322" t="s">
        <v>57</v>
      </c>
      <c r="L322" t="s">
        <v>1078</v>
      </c>
      <c r="M322" t="s">
        <v>40</v>
      </c>
      <c r="N322">
        <v>3</v>
      </c>
      <c r="O322">
        <v>876.14</v>
      </c>
      <c r="P322" s="3" t="s">
        <v>473</v>
      </c>
      <c r="Q322">
        <v>2628.42</v>
      </c>
      <c r="R322">
        <v>1541.54</v>
      </c>
      <c r="S322">
        <v>1086.8800000000001</v>
      </c>
      <c r="T322" t="s">
        <v>120</v>
      </c>
      <c r="U322" t="s">
        <v>112</v>
      </c>
      <c r="V322" s="3">
        <f t="shared" ref="V322:V385" si="45">IF(P322="",0,IF(ISNUMBER(P322),ABS(P322),IF(RIGHT(P322,1)="%",VALUE(LEFT(P322,LEN(P322)-1))/100,P322)))</f>
        <v>0.7</v>
      </c>
      <c r="W322">
        <f t="shared" ref="W322:W385" si="46">N322*O322*(1-V322)</f>
        <v>788.52600000000018</v>
      </c>
      <c r="X322">
        <f t="shared" ref="X322:X385" si="47">W322-R322</f>
        <v>-753.01399999999978</v>
      </c>
      <c r="Y322" s="4">
        <f t="shared" ref="Y322:Y385" si="48">IF(W322=0,0,X322/W322)</f>
        <v>-0.95496407220560842</v>
      </c>
      <c r="Z322">
        <f t="shared" ref="Z322:Z385" si="49">C322-B322</f>
        <v>2</v>
      </c>
      <c r="AA322">
        <f t="shared" ref="AA322:AA385" si="50">MONTH(B322)</f>
        <v>12</v>
      </c>
      <c r="AB322">
        <f t="shared" ref="AB322:AB385" si="51">YEAR(B322)</f>
        <v>2024</v>
      </c>
      <c r="AC322" t="str">
        <f t="shared" ref="AC322:AC385" si="52">IF(COUNTIF($A$2:$A$913,A322)&gt;1,"Conflict - Review","Unique")</f>
        <v>Unique</v>
      </c>
      <c r="AD322" t="str">
        <f t="shared" ref="AD322:AD385" si="53">IF(OR(C322&lt;B322,AND(ISNUMBER(P322),P322&lt;0),V322&gt;0.65,AC322="Conflict - Review"),"Invalid",IF(OR(G322="Unknown",M322="Unknown",T322="Failed",U322="Cancelled"),"Warning","Clean"))</f>
        <v>Invalid</v>
      </c>
    </row>
    <row r="323" spans="1:30" x14ac:dyDescent="0.3">
      <c r="A323" t="s">
        <v>1079</v>
      </c>
      <c r="B323" s="2">
        <v>45466</v>
      </c>
      <c r="C323" s="2">
        <v>45473</v>
      </c>
      <c r="D323" t="s">
        <v>1080</v>
      </c>
      <c r="E323" t="s">
        <v>88</v>
      </c>
      <c r="F323" t="s">
        <v>46</v>
      </c>
      <c r="G323" t="s">
        <v>72</v>
      </c>
      <c r="H323" t="s">
        <v>199</v>
      </c>
      <c r="I323" t="s">
        <v>200</v>
      </c>
      <c r="J323" t="s">
        <v>83</v>
      </c>
      <c r="K323" t="s">
        <v>84</v>
      </c>
      <c r="L323" t="s">
        <v>1081</v>
      </c>
      <c r="M323" t="s">
        <v>53</v>
      </c>
      <c r="N323">
        <v>4</v>
      </c>
      <c r="O323">
        <v>674.82</v>
      </c>
      <c r="P323" s="3">
        <v>0</v>
      </c>
      <c r="Q323">
        <v>2699.28</v>
      </c>
      <c r="R323">
        <v>1759.76</v>
      </c>
      <c r="S323">
        <v>939.52</v>
      </c>
      <c r="T323" t="s">
        <v>164</v>
      </c>
      <c r="U323" t="s">
        <v>77</v>
      </c>
      <c r="V323" s="3">
        <f t="shared" si="45"/>
        <v>0</v>
      </c>
      <c r="W323">
        <f t="shared" si="46"/>
        <v>2699.28</v>
      </c>
      <c r="X323">
        <f t="shared" si="47"/>
        <v>939.52000000000021</v>
      </c>
      <c r="Y323" s="4">
        <f t="shared" si="48"/>
        <v>0.34806318722029583</v>
      </c>
      <c r="Z323">
        <f t="shared" si="49"/>
        <v>7</v>
      </c>
      <c r="AA323">
        <f t="shared" si="50"/>
        <v>6</v>
      </c>
      <c r="AB323">
        <f t="shared" si="51"/>
        <v>2024</v>
      </c>
      <c r="AC323" t="str">
        <f t="shared" si="52"/>
        <v>Unique</v>
      </c>
      <c r="AD323" t="str">
        <f t="shared" si="53"/>
        <v>Warning</v>
      </c>
    </row>
    <row r="324" spans="1:30" x14ac:dyDescent="0.3">
      <c r="A324" t="s">
        <v>1082</v>
      </c>
      <c r="B324" s="2">
        <v>45608</v>
      </c>
      <c r="C324" s="2">
        <v>45608</v>
      </c>
      <c r="D324" t="s">
        <v>1083</v>
      </c>
      <c r="E324" t="s">
        <v>56</v>
      </c>
      <c r="F324" t="s">
        <v>33</v>
      </c>
      <c r="G324" t="s">
        <v>34</v>
      </c>
      <c r="H324" t="s">
        <v>145</v>
      </c>
      <c r="I324" t="s">
        <v>146</v>
      </c>
      <c r="J324" t="s">
        <v>83</v>
      </c>
      <c r="K324" t="s">
        <v>180</v>
      </c>
      <c r="L324" t="s">
        <v>1084</v>
      </c>
      <c r="M324" t="s">
        <v>40</v>
      </c>
      <c r="N324">
        <v>6</v>
      </c>
      <c r="O324">
        <v>1369.48</v>
      </c>
      <c r="P324" s="3">
        <v>0.15</v>
      </c>
      <c r="Q324">
        <v>6984.35</v>
      </c>
      <c r="R324">
        <v>4023.63</v>
      </c>
      <c r="S324">
        <v>2960.72</v>
      </c>
      <c r="T324" t="s">
        <v>41</v>
      </c>
      <c r="U324" t="s">
        <v>42</v>
      </c>
      <c r="V324" s="3">
        <f t="shared" si="45"/>
        <v>0.15</v>
      </c>
      <c r="W324">
        <f t="shared" si="46"/>
        <v>6984.3480000000009</v>
      </c>
      <c r="X324">
        <f t="shared" si="47"/>
        <v>2960.7180000000008</v>
      </c>
      <c r="Y324" s="4">
        <f t="shared" si="48"/>
        <v>0.42390757161584736</v>
      </c>
      <c r="Z324">
        <f t="shared" si="49"/>
        <v>0</v>
      </c>
      <c r="AA324">
        <f t="shared" si="50"/>
        <v>11</v>
      </c>
      <c r="AB324">
        <f t="shared" si="51"/>
        <v>2024</v>
      </c>
      <c r="AC324" t="str">
        <f t="shared" si="52"/>
        <v>Unique</v>
      </c>
      <c r="AD324" t="str">
        <f t="shared" si="53"/>
        <v>Clean</v>
      </c>
    </row>
    <row r="325" spans="1:30" x14ac:dyDescent="0.3">
      <c r="A325" t="s">
        <v>1085</v>
      </c>
      <c r="B325" s="2">
        <v>45347</v>
      </c>
      <c r="C325" s="2">
        <v>45351</v>
      </c>
      <c r="D325" t="s">
        <v>1086</v>
      </c>
      <c r="E325" t="s">
        <v>56</v>
      </c>
      <c r="F325" t="s">
        <v>46</v>
      </c>
      <c r="G325" t="s">
        <v>72</v>
      </c>
      <c r="H325" t="s">
        <v>199</v>
      </c>
      <c r="I325" t="s">
        <v>200</v>
      </c>
      <c r="J325" t="s">
        <v>50</v>
      </c>
      <c r="K325" t="s">
        <v>66</v>
      </c>
      <c r="L325" t="s">
        <v>159</v>
      </c>
      <c r="M325" t="s">
        <v>68</v>
      </c>
      <c r="N325">
        <v>9</v>
      </c>
      <c r="O325">
        <v>1331.46</v>
      </c>
      <c r="P325" s="3">
        <v>0.15</v>
      </c>
      <c r="Q325">
        <v>10185.67</v>
      </c>
      <c r="R325">
        <v>6479.31</v>
      </c>
      <c r="S325">
        <v>3706.36</v>
      </c>
      <c r="T325" t="s">
        <v>41</v>
      </c>
      <c r="U325" t="s">
        <v>42</v>
      </c>
      <c r="V325" s="3">
        <f t="shared" si="45"/>
        <v>0.15</v>
      </c>
      <c r="W325">
        <f t="shared" si="46"/>
        <v>10185.669</v>
      </c>
      <c r="X325">
        <f t="shared" si="47"/>
        <v>3706.3589999999995</v>
      </c>
      <c r="Y325" s="4">
        <f t="shared" si="48"/>
        <v>0.36387978050337189</v>
      </c>
      <c r="Z325">
        <f t="shared" si="49"/>
        <v>4</v>
      </c>
      <c r="AA325">
        <f t="shared" si="50"/>
        <v>2</v>
      </c>
      <c r="AB325">
        <f t="shared" si="51"/>
        <v>2024</v>
      </c>
      <c r="AC325" t="str">
        <f t="shared" si="52"/>
        <v>Unique</v>
      </c>
      <c r="AD325" t="str">
        <f t="shared" si="53"/>
        <v>Clean</v>
      </c>
    </row>
    <row r="326" spans="1:30" x14ac:dyDescent="0.3">
      <c r="A326" t="s">
        <v>1087</v>
      </c>
      <c r="B326" s="2">
        <v>45869</v>
      </c>
      <c r="C326" s="2">
        <v>45871</v>
      </c>
      <c r="D326" t="s">
        <v>1088</v>
      </c>
      <c r="E326" t="s">
        <v>150</v>
      </c>
      <c r="F326" t="s">
        <v>104</v>
      </c>
      <c r="G326" t="s">
        <v>63</v>
      </c>
      <c r="H326" t="s">
        <v>93</v>
      </c>
      <c r="I326" t="s">
        <v>94</v>
      </c>
      <c r="J326" t="s">
        <v>37</v>
      </c>
      <c r="K326" t="s">
        <v>100</v>
      </c>
      <c r="L326" t="s">
        <v>1089</v>
      </c>
      <c r="M326" t="s">
        <v>53</v>
      </c>
      <c r="N326">
        <v>1</v>
      </c>
      <c r="O326">
        <v>1947.88</v>
      </c>
      <c r="P326" s="3">
        <v>0.15</v>
      </c>
      <c r="Q326">
        <v>1655.7</v>
      </c>
      <c r="R326">
        <v>1354.8</v>
      </c>
      <c r="S326">
        <v>300.89999999999998</v>
      </c>
      <c r="T326" t="s">
        <v>41</v>
      </c>
      <c r="U326" t="s">
        <v>112</v>
      </c>
      <c r="V326" s="3">
        <f t="shared" si="45"/>
        <v>0.15</v>
      </c>
      <c r="W326">
        <f t="shared" si="46"/>
        <v>1655.6980000000001</v>
      </c>
      <c r="X326">
        <f t="shared" si="47"/>
        <v>300.89800000000014</v>
      </c>
      <c r="Y326" s="4">
        <f t="shared" si="48"/>
        <v>0.1817348332848141</v>
      </c>
      <c r="Z326">
        <f t="shared" si="49"/>
        <v>2</v>
      </c>
      <c r="AA326">
        <f t="shared" si="50"/>
        <v>7</v>
      </c>
      <c r="AB326">
        <f t="shared" si="51"/>
        <v>2025</v>
      </c>
      <c r="AC326" t="str">
        <f t="shared" si="52"/>
        <v>Unique</v>
      </c>
      <c r="AD326" t="str">
        <f t="shared" si="53"/>
        <v>Clean</v>
      </c>
    </row>
    <row r="327" spans="1:30" x14ac:dyDescent="0.3">
      <c r="A327" t="s">
        <v>1090</v>
      </c>
      <c r="B327" s="2">
        <v>45916</v>
      </c>
      <c r="C327" s="2">
        <v>45922</v>
      </c>
      <c r="D327" t="s">
        <v>1091</v>
      </c>
      <c r="E327" t="s">
        <v>141</v>
      </c>
      <c r="F327" t="s">
        <v>104</v>
      </c>
      <c r="G327" t="s">
        <v>47</v>
      </c>
      <c r="H327" t="s">
        <v>108</v>
      </c>
      <c r="I327" t="s">
        <v>109</v>
      </c>
      <c r="J327" t="s">
        <v>83</v>
      </c>
      <c r="K327" t="s">
        <v>89</v>
      </c>
      <c r="L327" t="s">
        <v>1092</v>
      </c>
      <c r="M327" t="s">
        <v>40</v>
      </c>
      <c r="N327">
        <v>5</v>
      </c>
      <c r="O327">
        <v>3671.2</v>
      </c>
      <c r="P327" s="3">
        <v>0.15</v>
      </c>
      <c r="Q327">
        <v>15602.6</v>
      </c>
      <c r="R327">
        <v>11908.52</v>
      </c>
      <c r="S327">
        <v>3694.08</v>
      </c>
      <c r="T327" t="s">
        <v>41</v>
      </c>
      <c r="U327" t="s">
        <v>42</v>
      </c>
      <c r="V327" s="3">
        <f t="shared" si="45"/>
        <v>0.15</v>
      </c>
      <c r="W327">
        <f t="shared" si="46"/>
        <v>15602.6</v>
      </c>
      <c r="X327">
        <f t="shared" si="47"/>
        <v>3694.08</v>
      </c>
      <c r="Y327" s="4">
        <f t="shared" si="48"/>
        <v>0.236760539910015</v>
      </c>
      <c r="Z327">
        <f t="shared" si="49"/>
        <v>6</v>
      </c>
      <c r="AA327">
        <f t="shared" si="50"/>
        <v>9</v>
      </c>
      <c r="AB327">
        <f t="shared" si="51"/>
        <v>2025</v>
      </c>
      <c r="AC327" t="str">
        <f t="shared" si="52"/>
        <v>Unique</v>
      </c>
      <c r="AD327" t="str">
        <f t="shared" si="53"/>
        <v>Clean</v>
      </c>
    </row>
    <row r="328" spans="1:30" x14ac:dyDescent="0.3">
      <c r="A328" t="s">
        <v>1093</v>
      </c>
      <c r="B328" s="2">
        <v>45860</v>
      </c>
      <c r="C328" s="2">
        <v>45860</v>
      </c>
      <c r="D328" t="s">
        <v>1094</v>
      </c>
      <c r="E328" t="s">
        <v>141</v>
      </c>
      <c r="F328" t="s">
        <v>99</v>
      </c>
      <c r="G328" t="s">
        <v>47</v>
      </c>
      <c r="H328" t="s">
        <v>238</v>
      </c>
      <c r="I328" t="s">
        <v>239</v>
      </c>
      <c r="J328" t="s">
        <v>50</v>
      </c>
      <c r="K328" t="s">
        <v>66</v>
      </c>
      <c r="L328" t="s">
        <v>1095</v>
      </c>
      <c r="M328" t="s">
        <v>53</v>
      </c>
      <c r="N328">
        <v>5</v>
      </c>
      <c r="O328">
        <v>3187.05</v>
      </c>
      <c r="P328" s="3">
        <v>0.05</v>
      </c>
      <c r="Q328">
        <v>15138.49</v>
      </c>
      <c r="R328">
        <v>11235.72</v>
      </c>
      <c r="S328">
        <v>3902.77</v>
      </c>
      <c r="T328" t="s">
        <v>41</v>
      </c>
      <c r="U328" t="s">
        <v>42</v>
      </c>
      <c r="V328" s="3">
        <f t="shared" si="45"/>
        <v>0.05</v>
      </c>
      <c r="W328">
        <f t="shared" si="46"/>
        <v>15138.487499999999</v>
      </c>
      <c r="X328">
        <f t="shared" si="47"/>
        <v>3902.7674999999999</v>
      </c>
      <c r="Y328" s="4">
        <f t="shared" si="48"/>
        <v>0.25780432160082045</v>
      </c>
      <c r="Z328">
        <f t="shared" si="49"/>
        <v>0</v>
      </c>
      <c r="AA328">
        <f t="shared" si="50"/>
        <v>7</v>
      </c>
      <c r="AB328">
        <f t="shared" si="51"/>
        <v>2025</v>
      </c>
      <c r="AC328" t="str">
        <f t="shared" si="52"/>
        <v>Unique</v>
      </c>
      <c r="AD328" t="str">
        <f t="shared" si="53"/>
        <v>Clean</v>
      </c>
    </row>
    <row r="329" spans="1:30" x14ac:dyDescent="0.3">
      <c r="A329" t="s">
        <v>1096</v>
      </c>
      <c r="B329" s="2">
        <v>45497</v>
      </c>
      <c r="C329" s="2">
        <v>45500</v>
      </c>
      <c r="D329" t="s">
        <v>1097</v>
      </c>
      <c r="E329" t="s">
        <v>56</v>
      </c>
      <c r="F329" t="s">
        <v>33</v>
      </c>
      <c r="G329" t="s">
        <v>72</v>
      </c>
      <c r="H329" t="s">
        <v>35</v>
      </c>
      <c r="I329" t="s">
        <v>118</v>
      </c>
      <c r="J329" t="s">
        <v>83</v>
      </c>
      <c r="K329" t="s">
        <v>84</v>
      </c>
      <c r="L329" t="s">
        <v>1098</v>
      </c>
      <c r="M329" t="s">
        <v>40</v>
      </c>
      <c r="N329">
        <v>3</v>
      </c>
      <c r="O329">
        <v>1834.55</v>
      </c>
      <c r="P329" s="3">
        <v>0.2</v>
      </c>
      <c r="Q329">
        <v>4402.92</v>
      </c>
      <c r="R329">
        <v>2993.94</v>
      </c>
      <c r="S329">
        <v>1408.98</v>
      </c>
      <c r="T329" t="s">
        <v>120</v>
      </c>
      <c r="U329" t="s">
        <v>77</v>
      </c>
      <c r="V329" s="3">
        <f t="shared" si="45"/>
        <v>0.2</v>
      </c>
      <c r="W329">
        <f t="shared" si="46"/>
        <v>4402.92</v>
      </c>
      <c r="X329">
        <f t="shared" si="47"/>
        <v>1408.98</v>
      </c>
      <c r="Y329" s="4">
        <f t="shared" si="48"/>
        <v>0.32001035676323897</v>
      </c>
      <c r="Z329">
        <f t="shared" si="49"/>
        <v>3</v>
      </c>
      <c r="AA329">
        <f t="shared" si="50"/>
        <v>7</v>
      </c>
      <c r="AB329">
        <f t="shared" si="51"/>
        <v>2024</v>
      </c>
      <c r="AC329" t="str">
        <f t="shared" si="52"/>
        <v>Unique</v>
      </c>
      <c r="AD329" t="str">
        <f t="shared" si="53"/>
        <v>Warning</v>
      </c>
    </row>
    <row r="330" spans="1:30" x14ac:dyDescent="0.3">
      <c r="A330" t="s">
        <v>1099</v>
      </c>
      <c r="B330" s="2">
        <v>45806</v>
      </c>
      <c r="C330" s="2">
        <v>45812</v>
      </c>
      <c r="D330" t="s">
        <v>1100</v>
      </c>
      <c r="E330" t="s">
        <v>171</v>
      </c>
      <c r="F330" t="s">
        <v>33</v>
      </c>
      <c r="G330" t="s">
        <v>72</v>
      </c>
      <c r="H330" t="s">
        <v>73</v>
      </c>
      <c r="I330" t="s">
        <v>74</v>
      </c>
      <c r="J330" t="s">
        <v>37</v>
      </c>
      <c r="K330" t="s">
        <v>133</v>
      </c>
      <c r="L330" t="s">
        <v>1101</v>
      </c>
      <c r="M330" t="s">
        <v>59</v>
      </c>
      <c r="N330">
        <v>6</v>
      </c>
      <c r="O330">
        <v>3100.68</v>
      </c>
      <c r="P330" s="3">
        <v>0</v>
      </c>
      <c r="Q330">
        <v>18604.080000000002</v>
      </c>
      <c r="R330">
        <v>15834.3</v>
      </c>
      <c r="S330">
        <v>2769.78</v>
      </c>
      <c r="T330" t="s">
        <v>41</v>
      </c>
      <c r="U330" t="s">
        <v>42</v>
      </c>
      <c r="V330" s="3">
        <f t="shared" si="45"/>
        <v>0</v>
      </c>
      <c r="W330">
        <f t="shared" si="46"/>
        <v>18604.079999999998</v>
      </c>
      <c r="X330">
        <f t="shared" si="47"/>
        <v>2769.7799999999988</v>
      </c>
      <c r="Y330" s="4">
        <f t="shared" si="48"/>
        <v>0.1488802456235406</v>
      </c>
      <c r="Z330">
        <f t="shared" si="49"/>
        <v>6</v>
      </c>
      <c r="AA330">
        <f t="shared" si="50"/>
        <v>5</v>
      </c>
      <c r="AB330">
        <f t="shared" si="51"/>
        <v>2025</v>
      </c>
      <c r="AC330" t="str">
        <f t="shared" si="52"/>
        <v>Unique</v>
      </c>
      <c r="AD330" t="str">
        <f t="shared" si="53"/>
        <v>Clean</v>
      </c>
    </row>
    <row r="331" spans="1:30" x14ac:dyDescent="0.3">
      <c r="A331" t="s">
        <v>1102</v>
      </c>
      <c r="B331" s="2">
        <v>45789</v>
      </c>
      <c r="C331" s="2">
        <v>45795</v>
      </c>
      <c r="D331" t="s">
        <v>1103</v>
      </c>
      <c r="E331" t="s">
        <v>88</v>
      </c>
      <c r="F331" t="s">
        <v>46</v>
      </c>
      <c r="G331" t="s">
        <v>72</v>
      </c>
      <c r="H331" t="s">
        <v>73</v>
      </c>
      <c r="I331" t="s">
        <v>74</v>
      </c>
      <c r="J331" t="s">
        <v>37</v>
      </c>
      <c r="K331" t="s">
        <v>133</v>
      </c>
      <c r="L331" t="s">
        <v>1104</v>
      </c>
      <c r="M331" t="s">
        <v>68</v>
      </c>
      <c r="N331">
        <v>4</v>
      </c>
      <c r="O331">
        <v>4053.03</v>
      </c>
      <c r="P331" s="3">
        <v>0.05</v>
      </c>
      <c r="Q331">
        <v>15401.51</v>
      </c>
      <c r="R331">
        <v>8650.42</v>
      </c>
      <c r="S331">
        <v>6751.09</v>
      </c>
      <c r="T331" t="s">
        <v>41</v>
      </c>
      <c r="U331" t="s">
        <v>42</v>
      </c>
      <c r="V331" s="3">
        <f t="shared" si="45"/>
        <v>0.05</v>
      </c>
      <c r="W331">
        <f t="shared" si="46"/>
        <v>15401.513999999999</v>
      </c>
      <c r="X331">
        <f t="shared" si="47"/>
        <v>6751.0939999999991</v>
      </c>
      <c r="Y331" s="4">
        <f t="shared" si="48"/>
        <v>0.43833963336331738</v>
      </c>
      <c r="Z331">
        <f t="shared" si="49"/>
        <v>6</v>
      </c>
      <c r="AA331">
        <f t="shared" si="50"/>
        <v>5</v>
      </c>
      <c r="AB331">
        <f t="shared" si="51"/>
        <v>2025</v>
      </c>
      <c r="AC331" t="str">
        <f t="shared" si="52"/>
        <v>Unique</v>
      </c>
      <c r="AD331" t="str">
        <f t="shared" si="53"/>
        <v>Clean</v>
      </c>
    </row>
    <row r="332" spans="1:30" x14ac:dyDescent="0.3">
      <c r="A332" t="s">
        <v>1105</v>
      </c>
      <c r="B332" s="2">
        <v>45428</v>
      </c>
      <c r="C332" s="2">
        <v>45436</v>
      </c>
      <c r="D332" t="s">
        <v>1106</v>
      </c>
      <c r="E332" t="s">
        <v>62</v>
      </c>
      <c r="F332" t="s">
        <v>104</v>
      </c>
      <c r="G332" t="s">
        <v>34</v>
      </c>
      <c r="H332" t="s">
        <v>131</v>
      </c>
      <c r="I332" t="s">
        <v>132</v>
      </c>
      <c r="J332" t="s">
        <v>83</v>
      </c>
      <c r="K332" t="s">
        <v>84</v>
      </c>
      <c r="L332" t="s">
        <v>1107</v>
      </c>
      <c r="M332" t="s">
        <v>53</v>
      </c>
      <c r="N332">
        <v>1</v>
      </c>
      <c r="O332">
        <v>783.09</v>
      </c>
      <c r="P332" s="3">
        <v>0</v>
      </c>
      <c r="Q332">
        <v>783.09</v>
      </c>
      <c r="R332">
        <v>503.89</v>
      </c>
      <c r="S332">
        <v>279.2</v>
      </c>
      <c r="T332" t="s">
        <v>164</v>
      </c>
      <c r="U332" t="s">
        <v>77</v>
      </c>
      <c r="V332" s="3">
        <f t="shared" si="45"/>
        <v>0</v>
      </c>
      <c r="W332">
        <f t="shared" si="46"/>
        <v>783.09</v>
      </c>
      <c r="X332">
        <f t="shared" si="47"/>
        <v>279.20000000000005</v>
      </c>
      <c r="Y332" s="4">
        <f t="shared" si="48"/>
        <v>0.3565362857398256</v>
      </c>
      <c r="Z332">
        <f t="shared" si="49"/>
        <v>8</v>
      </c>
      <c r="AA332">
        <f t="shared" si="50"/>
        <v>5</v>
      </c>
      <c r="AB332">
        <f t="shared" si="51"/>
        <v>2024</v>
      </c>
      <c r="AC332" t="str">
        <f t="shared" si="52"/>
        <v>Unique</v>
      </c>
      <c r="AD332" t="str">
        <f t="shared" si="53"/>
        <v>Warning</v>
      </c>
    </row>
    <row r="333" spans="1:30" x14ac:dyDescent="0.3">
      <c r="A333" t="s">
        <v>1108</v>
      </c>
      <c r="B333" s="2">
        <v>45630</v>
      </c>
      <c r="C333" s="2">
        <v>45632</v>
      </c>
      <c r="D333" t="s">
        <v>1109</v>
      </c>
      <c r="E333" t="s">
        <v>141</v>
      </c>
      <c r="F333" t="s">
        <v>104</v>
      </c>
      <c r="G333" t="s">
        <v>47</v>
      </c>
      <c r="H333" t="s">
        <v>48</v>
      </c>
      <c r="I333" t="s">
        <v>49</v>
      </c>
      <c r="J333" t="s">
        <v>37</v>
      </c>
      <c r="K333" t="s">
        <v>162</v>
      </c>
      <c r="L333" t="s">
        <v>1110</v>
      </c>
      <c r="M333" t="s">
        <v>40</v>
      </c>
      <c r="N333">
        <v>4</v>
      </c>
      <c r="O333">
        <v>2685.66</v>
      </c>
      <c r="P333" s="3">
        <v>0</v>
      </c>
      <c r="Q333">
        <v>10742.64</v>
      </c>
      <c r="R333">
        <v>6477.37</v>
      </c>
      <c r="S333">
        <v>4265.2700000000004</v>
      </c>
      <c r="T333" t="s">
        <v>41</v>
      </c>
      <c r="U333" t="s">
        <v>112</v>
      </c>
      <c r="V333" s="3">
        <f t="shared" si="45"/>
        <v>0</v>
      </c>
      <c r="W333">
        <f t="shared" si="46"/>
        <v>10742.64</v>
      </c>
      <c r="X333">
        <f t="shared" si="47"/>
        <v>4265.2699999999995</v>
      </c>
      <c r="Y333" s="4">
        <f t="shared" si="48"/>
        <v>0.39704113700170535</v>
      </c>
      <c r="Z333">
        <f t="shared" si="49"/>
        <v>2</v>
      </c>
      <c r="AA333">
        <f t="shared" si="50"/>
        <v>12</v>
      </c>
      <c r="AB333">
        <f t="shared" si="51"/>
        <v>2024</v>
      </c>
      <c r="AC333" t="str">
        <f t="shared" si="52"/>
        <v>Conflict - Review</v>
      </c>
      <c r="AD333" t="str">
        <f t="shared" si="53"/>
        <v>Invalid</v>
      </c>
    </row>
    <row r="334" spans="1:30" x14ac:dyDescent="0.3">
      <c r="A334" t="s">
        <v>1111</v>
      </c>
      <c r="B334" s="2">
        <v>45804</v>
      </c>
      <c r="C334" s="2">
        <v>45805</v>
      </c>
      <c r="D334" t="s">
        <v>1112</v>
      </c>
      <c r="E334" t="s">
        <v>137</v>
      </c>
      <c r="F334" t="s">
        <v>33</v>
      </c>
      <c r="G334" t="s">
        <v>63</v>
      </c>
      <c r="H334" t="s">
        <v>93</v>
      </c>
      <c r="I334" t="s">
        <v>94</v>
      </c>
      <c r="J334" t="s">
        <v>83</v>
      </c>
      <c r="K334" t="s">
        <v>284</v>
      </c>
      <c r="L334" t="s">
        <v>1113</v>
      </c>
      <c r="M334" t="s">
        <v>40</v>
      </c>
      <c r="N334">
        <v>2</v>
      </c>
      <c r="O334">
        <v>3911.96</v>
      </c>
      <c r="P334" s="3">
        <v>0</v>
      </c>
      <c r="Q334">
        <v>7823.92</v>
      </c>
      <c r="R334">
        <v>6034.63</v>
      </c>
      <c r="S334">
        <v>1789.29</v>
      </c>
      <c r="T334" t="s">
        <v>41</v>
      </c>
      <c r="U334" t="s">
        <v>42</v>
      </c>
      <c r="V334" s="3">
        <f t="shared" si="45"/>
        <v>0</v>
      </c>
      <c r="W334">
        <f t="shared" si="46"/>
        <v>7823.92</v>
      </c>
      <c r="X334">
        <f t="shared" si="47"/>
        <v>1789.29</v>
      </c>
      <c r="Y334" s="4">
        <f t="shared" si="48"/>
        <v>0.22869482305545047</v>
      </c>
      <c r="Z334">
        <f t="shared" si="49"/>
        <v>1</v>
      </c>
      <c r="AA334">
        <f t="shared" si="50"/>
        <v>5</v>
      </c>
      <c r="AB334">
        <f t="shared" si="51"/>
        <v>2025</v>
      </c>
      <c r="AC334" t="str">
        <f t="shared" si="52"/>
        <v>Unique</v>
      </c>
      <c r="AD334" t="str">
        <f t="shared" si="53"/>
        <v>Clean</v>
      </c>
    </row>
    <row r="335" spans="1:30" x14ac:dyDescent="0.3">
      <c r="A335" t="s">
        <v>1114</v>
      </c>
      <c r="B335" s="2">
        <v>45830</v>
      </c>
      <c r="C335" s="2">
        <v>45835</v>
      </c>
      <c r="D335" t="s">
        <v>1115</v>
      </c>
      <c r="E335" t="s">
        <v>150</v>
      </c>
      <c r="F335" t="s">
        <v>104</v>
      </c>
      <c r="G335" t="s">
        <v>214</v>
      </c>
      <c r="H335" t="s">
        <v>360</v>
      </c>
      <c r="I335" t="s">
        <v>361</v>
      </c>
      <c r="J335" t="s">
        <v>83</v>
      </c>
      <c r="K335" t="s">
        <v>180</v>
      </c>
      <c r="L335" t="s">
        <v>1116</v>
      </c>
      <c r="M335" t="s">
        <v>59</v>
      </c>
      <c r="N335">
        <v>2</v>
      </c>
      <c r="O335">
        <v>1468.05</v>
      </c>
      <c r="P335" s="3">
        <v>0</v>
      </c>
      <c r="Q335">
        <v>2936.1</v>
      </c>
      <c r="R335">
        <v>1923.1</v>
      </c>
      <c r="S335">
        <v>1013</v>
      </c>
      <c r="T335" t="s">
        <v>41</v>
      </c>
      <c r="U335" t="s">
        <v>42</v>
      </c>
      <c r="V335" s="3">
        <f t="shared" si="45"/>
        <v>0</v>
      </c>
      <c r="W335">
        <f t="shared" si="46"/>
        <v>2936.1</v>
      </c>
      <c r="X335">
        <f t="shared" si="47"/>
        <v>1013</v>
      </c>
      <c r="Y335" s="4">
        <f t="shared" si="48"/>
        <v>0.34501549674738602</v>
      </c>
      <c r="Z335">
        <f t="shared" si="49"/>
        <v>5</v>
      </c>
      <c r="AA335">
        <f t="shared" si="50"/>
        <v>6</v>
      </c>
      <c r="AB335">
        <f t="shared" si="51"/>
        <v>2025</v>
      </c>
      <c r="AC335" t="str">
        <f t="shared" si="52"/>
        <v>Unique</v>
      </c>
      <c r="AD335" t="str">
        <f t="shared" si="53"/>
        <v>Warning</v>
      </c>
    </row>
    <row r="336" spans="1:30" x14ac:dyDescent="0.3">
      <c r="A336" t="s">
        <v>1117</v>
      </c>
      <c r="B336" s="2">
        <v>45547</v>
      </c>
      <c r="C336" s="2">
        <v>45552</v>
      </c>
      <c r="D336" t="s">
        <v>1118</v>
      </c>
      <c r="E336" t="s">
        <v>71</v>
      </c>
      <c r="F336" t="s">
        <v>33</v>
      </c>
      <c r="G336" t="s">
        <v>47</v>
      </c>
      <c r="H336" t="s">
        <v>238</v>
      </c>
      <c r="I336" t="s">
        <v>239</v>
      </c>
      <c r="J336" t="s">
        <v>37</v>
      </c>
      <c r="K336" t="s">
        <v>133</v>
      </c>
      <c r="L336" t="s">
        <v>1119</v>
      </c>
      <c r="M336" t="s">
        <v>59</v>
      </c>
      <c r="N336">
        <v>9</v>
      </c>
      <c r="O336">
        <v>1921.47</v>
      </c>
      <c r="P336" s="3">
        <v>0.25</v>
      </c>
      <c r="Q336">
        <v>12969.92</v>
      </c>
      <c r="R336">
        <v>9398.4599999999991</v>
      </c>
      <c r="S336">
        <v>3571.46</v>
      </c>
      <c r="T336" t="s">
        <v>41</v>
      </c>
      <c r="U336" t="s">
        <v>42</v>
      </c>
      <c r="V336" s="3">
        <f t="shared" si="45"/>
        <v>0.25</v>
      </c>
      <c r="W336">
        <f t="shared" si="46"/>
        <v>12969.922500000001</v>
      </c>
      <c r="X336">
        <f t="shared" si="47"/>
        <v>3571.4625000000015</v>
      </c>
      <c r="Y336" s="4">
        <f t="shared" si="48"/>
        <v>0.27536498386941027</v>
      </c>
      <c r="Z336">
        <f t="shared" si="49"/>
        <v>5</v>
      </c>
      <c r="AA336">
        <f t="shared" si="50"/>
        <v>9</v>
      </c>
      <c r="AB336">
        <f t="shared" si="51"/>
        <v>2024</v>
      </c>
      <c r="AC336" t="str">
        <f t="shared" si="52"/>
        <v>Unique</v>
      </c>
      <c r="AD336" t="str">
        <f t="shared" si="53"/>
        <v>Clean</v>
      </c>
    </row>
    <row r="337" spans="1:30" x14ac:dyDescent="0.3">
      <c r="A337" t="s">
        <v>1120</v>
      </c>
      <c r="B337" s="2">
        <v>45824</v>
      </c>
      <c r="C337" s="2">
        <v>45826</v>
      </c>
      <c r="D337" t="s">
        <v>1121</v>
      </c>
      <c r="E337" t="s">
        <v>127</v>
      </c>
      <c r="F337" t="s">
        <v>104</v>
      </c>
      <c r="G337" t="s">
        <v>72</v>
      </c>
      <c r="H337" t="s">
        <v>81</v>
      </c>
      <c r="I337" t="s">
        <v>82</v>
      </c>
      <c r="J337" t="s">
        <v>37</v>
      </c>
      <c r="K337" t="s">
        <v>38</v>
      </c>
      <c r="L337" t="s">
        <v>1122</v>
      </c>
      <c r="M337" t="s">
        <v>59</v>
      </c>
      <c r="N337">
        <v>3</v>
      </c>
      <c r="O337">
        <v>4289.37</v>
      </c>
      <c r="P337" s="3">
        <v>0.1</v>
      </c>
      <c r="Q337">
        <v>11581.3</v>
      </c>
      <c r="R337">
        <v>6829.43</v>
      </c>
      <c r="S337">
        <v>4751.87</v>
      </c>
      <c r="T337" t="s">
        <v>41</v>
      </c>
      <c r="U337" t="s">
        <v>42</v>
      </c>
      <c r="V337" s="3">
        <f t="shared" si="45"/>
        <v>0.1</v>
      </c>
      <c r="W337">
        <f t="shared" si="46"/>
        <v>11581.299000000001</v>
      </c>
      <c r="X337">
        <f t="shared" si="47"/>
        <v>4751.8690000000006</v>
      </c>
      <c r="Y337" s="4">
        <f t="shared" si="48"/>
        <v>0.41030535521101735</v>
      </c>
      <c r="Z337">
        <f t="shared" si="49"/>
        <v>2</v>
      </c>
      <c r="AA337">
        <f t="shared" si="50"/>
        <v>6</v>
      </c>
      <c r="AB337">
        <f t="shared" si="51"/>
        <v>2025</v>
      </c>
      <c r="AC337" t="str">
        <f t="shared" si="52"/>
        <v>Conflict - Review</v>
      </c>
      <c r="AD337" t="str">
        <f t="shared" si="53"/>
        <v>Invalid</v>
      </c>
    </row>
    <row r="338" spans="1:30" x14ac:dyDescent="0.3">
      <c r="A338" t="s">
        <v>1123</v>
      </c>
      <c r="B338" s="2">
        <v>45368</v>
      </c>
      <c r="C338" s="2">
        <v>45372</v>
      </c>
      <c r="D338" t="s">
        <v>875</v>
      </c>
      <c r="E338" t="s">
        <v>137</v>
      </c>
      <c r="F338" t="s">
        <v>33</v>
      </c>
      <c r="G338" t="s">
        <v>34</v>
      </c>
      <c r="H338" t="s">
        <v>35</v>
      </c>
      <c r="I338" t="s">
        <v>36</v>
      </c>
      <c r="J338" t="s">
        <v>83</v>
      </c>
      <c r="K338" t="s">
        <v>89</v>
      </c>
      <c r="L338" t="s">
        <v>1124</v>
      </c>
      <c r="M338" t="s">
        <v>59</v>
      </c>
      <c r="N338">
        <v>8</v>
      </c>
      <c r="O338">
        <v>1992.57</v>
      </c>
      <c r="P338" s="3">
        <v>0</v>
      </c>
      <c r="Q338">
        <v>15940.56</v>
      </c>
      <c r="R338">
        <v>12347.15</v>
      </c>
      <c r="S338">
        <v>3593.41</v>
      </c>
      <c r="T338" t="s">
        <v>41</v>
      </c>
      <c r="U338" t="s">
        <v>42</v>
      </c>
      <c r="V338" s="3">
        <f t="shared" si="45"/>
        <v>0</v>
      </c>
      <c r="W338">
        <f t="shared" si="46"/>
        <v>15940.56</v>
      </c>
      <c r="X338">
        <f t="shared" si="47"/>
        <v>3593.41</v>
      </c>
      <c r="Y338" s="4">
        <f t="shared" si="48"/>
        <v>0.2254255810335396</v>
      </c>
      <c r="Z338">
        <f t="shared" si="49"/>
        <v>4</v>
      </c>
      <c r="AA338">
        <f t="shared" si="50"/>
        <v>3</v>
      </c>
      <c r="AB338">
        <f t="shared" si="51"/>
        <v>2024</v>
      </c>
      <c r="AC338" t="str">
        <f t="shared" si="52"/>
        <v>Unique</v>
      </c>
      <c r="AD338" t="str">
        <f t="shared" si="53"/>
        <v>Clean</v>
      </c>
    </row>
    <row r="339" spans="1:30" x14ac:dyDescent="0.3">
      <c r="A339" t="s">
        <v>1125</v>
      </c>
      <c r="B339" s="2">
        <v>45516</v>
      </c>
      <c r="C339" s="2">
        <v>45522</v>
      </c>
      <c r="D339" t="s">
        <v>1126</v>
      </c>
      <c r="E339" t="s">
        <v>71</v>
      </c>
      <c r="F339" t="s">
        <v>33</v>
      </c>
      <c r="G339" t="s">
        <v>47</v>
      </c>
      <c r="H339" t="s">
        <v>175</v>
      </c>
      <c r="I339" t="s">
        <v>176</v>
      </c>
      <c r="J339" t="s">
        <v>37</v>
      </c>
      <c r="K339" t="s">
        <v>100</v>
      </c>
      <c r="L339" t="s">
        <v>1127</v>
      </c>
      <c r="M339" t="s">
        <v>53</v>
      </c>
      <c r="N339">
        <v>6</v>
      </c>
      <c r="O339">
        <v>1181.74</v>
      </c>
      <c r="P339" s="3">
        <v>0</v>
      </c>
      <c r="Q339">
        <v>7090.44</v>
      </c>
      <c r="R339">
        <v>5672.27</v>
      </c>
      <c r="S339">
        <v>1262.8699999999999</v>
      </c>
      <c r="T339" t="s">
        <v>41</v>
      </c>
      <c r="U339" t="s">
        <v>42</v>
      </c>
      <c r="V339" s="3">
        <f t="shared" si="45"/>
        <v>0</v>
      </c>
      <c r="W339">
        <f t="shared" si="46"/>
        <v>7090.4400000000005</v>
      </c>
      <c r="X339">
        <f t="shared" si="47"/>
        <v>1418.17</v>
      </c>
      <c r="Y339" s="4">
        <f t="shared" si="48"/>
        <v>0.20001156486762456</v>
      </c>
      <c r="Z339">
        <f t="shared" si="49"/>
        <v>6</v>
      </c>
      <c r="AA339">
        <f t="shared" si="50"/>
        <v>8</v>
      </c>
      <c r="AB339">
        <f t="shared" si="51"/>
        <v>2024</v>
      </c>
      <c r="AC339" t="str">
        <f t="shared" si="52"/>
        <v>Unique</v>
      </c>
      <c r="AD339" t="str">
        <f t="shared" si="53"/>
        <v>Clean</v>
      </c>
    </row>
    <row r="340" spans="1:30" x14ac:dyDescent="0.3">
      <c r="A340" t="s">
        <v>1128</v>
      </c>
      <c r="B340" s="2">
        <v>45634</v>
      </c>
      <c r="C340" s="2">
        <v>45634</v>
      </c>
      <c r="D340" t="s">
        <v>1129</v>
      </c>
      <c r="E340" t="s">
        <v>62</v>
      </c>
      <c r="F340" t="s">
        <v>46</v>
      </c>
      <c r="G340" t="s">
        <v>63</v>
      </c>
      <c r="H340" t="s">
        <v>93</v>
      </c>
      <c r="I340" t="s">
        <v>94</v>
      </c>
      <c r="J340" t="s">
        <v>83</v>
      </c>
      <c r="K340" t="s">
        <v>84</v>
      </c>
      <c r="L340" t="s">
        <v>1130</v>
      </c>
      <c r="M340" t="s">
        <v>59</v>
      </c>
      <c r="N340">
        <v>8</v>
      </c>
      <c r="O340">
        <v>4402.3599999999997</v>
      </c>
      <c r="P340" s="3">
        <v>0.25</v>
      </c>
      <c r="Q340">
        <v>26414.16</v>
      </c>
      <c r="R340">
        <v>21822.53</v>
      </c>
      <c r="S340">
        <v>4591.63</v>
      </c>
      <c r="T340" t="s">
        <v>41</v>
      </c>
      <c r="U340" t="s">
        <v>42</v>
      </c>
      <c r="V340" s="3">
        <f t="shared" si="45"/>
        <v>0.25</v>
      </c>
      <c r="W340">
        <f t="shared" si="46"/>
        <v>26414.159999999996</v>
      </c>
      <c r="X340">
        <f t="shared" si="47"/>
        <v>4591.6299999999974</v>
      </c>
      <c r="Y340" s="4">
        <f t="shared" si="48"/>
        <v>0.17383214154832097</v>
      </c>
      <c r="Z340">
        <f t="shared" si="49"/>
        <v>0</v>
      </c>
      <c r="AA340">
        <f t="shared" si="50"/>
        <v>12</v>
      </c>
      <c r="AB340">
        <f t="shared" si="51"/>
        <v>2024</v>
      </c>
      <c r="AC340" t="str">
        <f t="shared" si="52"/>
        <v>Unique</v>
      </c>
      <c r="AD340" t="str">
        <f t="shared" si="53"/>
        <v>Clean</v>
      </c>
    </row>
    <row r="341" spans="1:30" x14ac:dyDescent="0.3">
      <c r="A341" t="s">
        <v>1131</v>
      </c>
      <c r="B341" s="2">
        <v>45708</v>
      </c>
      <c r="C341" s="2">
        <v>45710</v>
      </c>
      <c r="D341" t="s">
        <v>1132</v>
      </c>
      <c r="E341" t="s">
        <v>88</v>
      </c>
      <c r="F341" t="s">
        <v>99</v>
      </c>
      <c r="G341" t="s">
        <v>47</v>
      </c>
      <c r="H341" t="s">
        <v>238</v>
      </c>
      <c r="I341" t="s">
        <v>239</v>
      </c>
      <c r="J341" t="s">
        <v>50</v>
      </c>
      <c r="K341" t="s">
        <v>167</v>
      </c>
      <c r="L341" t="s">
        <v>1133</v>
      </c>
      <c r="M341" t="s">
        <v>68</v>
      </c>
      <c r="N341">
        <v>8</v>
      </c>
      <c r="O341">
        <v>3265.76</v>
      </c>
      <c r="P341" s="3">
        <v>0.2</v>
      </c>
      <c r="Q341">
        <v>20900.86</v>
      </c>
      <c r="R341">
        <v>12513.14</v>
      </c>
      <c r="S341">
        <v>8387.7199999999993</v>
      </c>
      <c r="T341" t="s">
        <v>41</v>
      </c>
      <c r="U341" t="s">
        <v>42</v>
      </c>
      <c r="V341" s="3">
        <f t="shared" si="45"/>
        <v>0.2</v>
      </c>
      <c r="W341">
        <f t="shared" si="46"/>
        <v>20900.864000000001</v>
      </c>
      <c r="X341">
        <f t="shared" si="47"/>
        <v>8387.724000000002</v>
      </c>
      <c r="Y341" s="4">
        <f t="shared" si="48"/>
        <v>0.40130991714026759</v>
      </c>
      <c r="Z341">
        <f t="shared" si="49"/>
        <v>2</v>
      </c>
      <c r="AA341">
        <f t="shared" si="50"/>
        <v>2</v>
      </c>
      <c r="AB341">
        <f t="shared" si="51"/>
        <v>2025</v>
      </c>
      <c r="AC341" t="str">
        <f t="shared" si="52"/>
        <v>Unique</v>
      </c>
      <c r="AD341" t="str">
        <f t="shared" si="53"/>
        <v>Clean</v>
      </c>
    </row>
    <row r="342" spans="1:30" x14ac:dyDescent="0.3">
      <c r="A342" t="s">
        <v>1134</v>
      </c>
      <c r="B342" s="2">
        <v>45312</v>
      </c>
      <c r="C342" s="2">
        <v>45320</v>
      </c>
      <c r="D342" t="s">
        <v>1135</v>
      </c>
      <c r="E342" t="s">
        <v>88</v>
      </c>
      <c r="F342" t="s">
        <v>33</v>
      </c>
      <c r="G342" t="s">
        <v>63</v>
      </c>
      <c r="H342" t="s">
        <v>184</v>
      </c>
      <c r="I342" t="s">
        <v>185</v>
      </c>
      <c r="J342" t="s">
        <v>37</v>
      </c>
      <c r="K342" t="s">
        <v>162</v>
      </c>
      <c r="L342" t="s">
        <v>1136</v>
      </c>
      <c r="M342" t="s">
        <v>68</v>
      </c>
      <c r="N342">
        <v>5</v>
      </c>
      <c r="O342">
        <v>4058.08</v>
      </c>
      <c r="P342" s="3">
        <v>0.1</v>
      </c>
      <c r="Q342">
        <v>18261.36</v>
      </c>
      <c r="R342">
        <v>11399.94</v>
      </c>
      <c r="S342">
        <v>6861.42</v>
      </c>
      <c r="T342" t="s">
        <v>41</v>
      </c>
      <c r="U342" t="s">
        <v>42</v>
      </c>
      <c r="V342" s="3">
        <f t="shared" si="45"/>
        <v>0.1</v>
      </c>
      <c r="W342">
        <f t="shared" si="46"/>
        <v>18261.36</v>
      </c>
      <c r="X342">
        <f t="shared" si="47"/>
        <v>6861.42</v>
      </c>
      <c r="Y342" s="4">
        <f t="shared" si="48"/>
        <v>0.3757343374206521</v>
      </c>
      <c r="Z342">
        <f t="shared" si="49"/>
        <v>8</v>
      </c>
      <c r="AA342">
        <f t="shared" si="50"/>
        <v>1</v>
      </c>
      <c r="AB342">
        <f t="shared" si="51"/>
        <v>2024</v>
      </c>
      <c r="AC342" t="str">
        <f t="shared" si="52"/>
        <v>Unique</v>
      </c>
      <c r="AD342" t="str">
        <f t="shared" si="53"/>
        <v>Clean</v>
      </c>
    </row>
    <row r="343" spans="1:30" x14ac:dyDescent="0.3">
      <c r="A343" t="s">
        <v>1137</v>
      </c>
      <c r="B343" s="2">
        <v>45908</v>
      </c>
      <c r="C343" s="2">
        <v>45909</v>
      </c>
      <c r="D343" t="s">
        <v>1138</v>
      </c>
      <c r="E343" t="s">
        <v>150</v>
      </c>
      <c r="F343" t="s">
        <v>104</v>
      </c>
      <c r="G343" t="s">
        <v>72</v>
      </c>
      <c r="H343" t="s">
        <v>189</v>
      </c>
      <c r="I343" t="s">
        <v>190</v>
      </c>
      <c r="J343" t="s">
        <v>50</v>
      </c>
      <c r="K343" t="s">
        <v>75</v>
      </c>
      <c r="L343" t="s">
        <v>1139</v>
      </c>
      <c r="M343" t="s">
        <v>40</v>
      </c>
      <c r="N343">
        <v>2</v>
      </c>
      <c r="O343">
        <v>3960.33</v>
      </c>
      <c r="P343" s="3">
        <v>0.05</v>
      </c>
      <c r="Q343">
        <v>7524.63</v>
      </c>
      <c r="R343">
        <v>6229.6</v>
      </c>
      <c r="S343">
        <v>1295.03</v>
      </c>
      <c r="T343" t="s">
        <v>41</v>
      </c>
      <c r="U343" t="s">
        <v>42</v>
      </c>
      <c r="V343" s="3">
        <f t="shared" si="45"/>
        <v>0.05</v>
      </c>
      <c r="W343">
        <f t="shared" si="46"/>
        <v>7524.6269999999995</v>
      </c>
      <c r="X343">
        <f t="shared" si="47"/>
        <v>1295.0269999999991</v>
      </c>
      <c r="Y343" s="4">
        <f t="shared" si="48"/>
        <v>0.17210514222166751</v>
      </c>
      <c r="Z343">
        <f t="shared" si="49"/>
        <v>1</v>
      </c>
      <c r="AA343">
        <f t="shared" si="50"/>
        <v>9</v>
      </c>
      <c r="AB343">
        <f t="shared" si="51"/>
        <v>2025</v>
      </c>
      <c r="AC343" t="str">
        <f t="shared" si="52"/>
        <v>Unique</v>
      </c>
      <c r="AD343" t="str">
        <f t="shared" si="53"/>
        <v>Clean</v>
      </c>
    </row>
    <row r="344" spans="1:30" x14ac:dyDescent="0.3">
      <c r="A344" t="s">
        <v>1140</v>
      </c>
      <c r="B344" s="2">
        <v>45862</v>
      </c>
      <c r="C344" s="2">
        <v>45870</v>
      </c>
      <c r="D344" t="s">
        <v>1141</v>
      </c>
      <c r="E344" t="s">
        <v>274</v>
      </c>
      <c r="F344" t="s">
        <v>46</v>
      </c>
      <c r="G344" t="s">
        <v>47</v>
      </c>
      <c r="H344" t="s">
        <v>238</v>
      </c>
      <c r="I344" t="s">
        <v>239</v>
      </c>
      <c r="J344" t="s">
        <v>37</v>
      </c>
      <c r="K344" t="s">
        <v>162</v>
      </c>
      <c r="L344" t="s">
        <v>1142</v>
      </c>
      <c r="M344" t="s">
        <v>59</v>
      </c>
      <c r="N344">
        <v>8</v>
      </c>
      <c r="O344">
        <v>1528.92</v>
      </c>
      <c r="P344" s="3">
        <v>0</v>
      </c>
      <c r="Q344">
        <v>12231.36</v>
      </c>
      <c r="R344">
        <v>8766.9</v>
      </c>
      <c r="S344">
        <v>3464.46</v>
      </c>
      <c r="T344" t="s">
        <v>41</v>
      </c>
      <c r="U344" t="s">
        <v>42</v>
      </c>
      <c r="V344" s="3">
        <f t="shared" si="45"/>
        <v>0</v>
      </c>
      <c r="W344">
        <f t="shared" si="46"/>
        <v>12231.36</v>
      </c>
      <c r="X344">
        <f t="shared" si="47"/>
        <v>3464.4600000000009</v>
      </c>
      <c r="Y344" s="4">
        <f t="shared" si="48"/>
        <v>0.28324405462679547</v>
      </c>
      <c r="Z344">
        <f t="shared" si="49"/>
        <v>8</v>
      </c>
      <c r="AA344">
        <f t="shared" si="50"/>
        <v>7</v>
      </c>
      <c r="AB344">
        <f t="shared" si="51"/>
        <v>2025</v>
      </c>
      <c r="AC344" t="str">
        <f t="shared" si="52"/>
        <v>Unique</v>
      </c>
      <c r="AD344" t="str">
        <f t="shared" si="53"/>
        <v>Clean</v>
      </c>
    </row>
    <row r="345" spans="1:30" x14ac:dyDescent="0.3">
      <c r="A345" t="s">
        <v>1143</v>
      </c>
      <c r="B345" s="2">
        <v>45933</v>
      </c>
      <c r="C345" s="2">
        <v>45938</v>
      </c>
      <c r="D345" t="s">
        <v>1144</v>
      </c>
      <c r="E345" t="s">
        <v>137</v>
      </c>
      <c r="F345" t="s">
        <v>99</v>
      </c>
      <c r="G345" t="s">
        <v>72</v>
      </c>
      <c r="H345" t="s">
        <v>81</v>
      </c>
      <c r="I345" t="s">
        <v>82</v>
      </c>
      <c r="J345" t="s">
        <v>83</v>
      </c>
      <c r="K345" t="s">
        <v>284</v>
      </c>
      <c r="L345" t="s">
        <v>1145</v>
      </c>
      <c r="M345" t="s">
        <v>53</v>
      </c>
      <c r="N345">
        <v>9</v>
      </c>
      <c r="O345">
        <v>3837</v>
      </c>
      <c r="P345" s="3">
        <v>0.1</v>
      </c>
      <c r="Q345">
        <v>31079.7</v>
      </c>
      <c r="R345">
        <v>17758.25</v>
      </c>
      <c r="S345">
        <v>13321.45</v>
      </c>
      <c r="T345" t="s">
        <v>41</v>
      </c>
      <c r="U345" t="s">
        <v>42</v>
      </c>
      <c r="V345" s="3">
        <f t="shared" si="45"/>
        <v>0.1</v>
      </c>
      <c r="W345">
        <f t="shared" si="46"/>
        <v>31079.7</v>
      </c>
      <c r="X345">
        <f t="shared" si="47"/>
        <v>13321.45</v>
      </c>
      <c r="Y345" s="4">
        <f t="shared" si="48"/>
        <v>0.4286222196481948</v>
      </c>
      <c r="Z345">
        <f t="shared" si="49"/>
        <v>5</v>
      </c>
      <c r="AA345">
        <f t="shared" si="50"/>
        <v>10</v>
      </c>
      <c r="AB345">
        <f t="shared" si="51"/>
        <v>2025</v>
      </c>
      <c r="AC345" t="str">
        <f t="shared" si="52"/>
        <v>Unique</v>
      </c>
      <c r="AD345" t="str">
        <f t="shared" si="53"/>
        <v>Clean</v>
      </c>
    </row>
    <row r="346" spans="1:30" x14ac:dyDescent="0.3">
      <c r="A346" t="s">
        <v>1146</v>
      </c>
      <c r="B346" s="2">
        <v>45362</v>
      </c>
      <c r="C346" s="2">
        <v>45362</v>
      </c>
      <c r="D346" t="s">
        <v>1147</v>
      </c>
      <c r="E346" t="s">
        <v>123</v>
      </c>
      <c r="F346" t="s">
        <v>33</v>
      </c>
      <c r="G346" t="s">
        <v>34</v>
      </c>
      <c r="H346" t="s">
        <v>131</v>
      </c>
      <c r="I346" t="s">
        <v>132</v>
      </c>
      <c r="J346" t="s">
        <v>50</v>
      </c>
      <c r="K346" t="s">
        <v>167</v>
      </c>
      <c r="L346" t="s">
        <v>1148</v>
      </c>
      <c r="M346" t="s">
        <v>53</v>
      </c>
      <c r="N346">
        <v>9</v>
      </c>
      <c r="O346">
        <v>3456.38</v>
      </c>
      <c r="P346" s="3">
        <v>0</v>
      </c>
      <c r="Q346">
        <v>31107.42</v>
      </c>
      <c r="R346">
        <v>20146.66</v>
      </c>
      <c r="S346">
        <v>10960.76</v>
      </c>
      <c r="T346" t="s">
        <v>120</v>
      </c>
      <c r="U346" t="s">
        <v>112</v>
      </c>
      <c r="V346" s="3">
        <f t="shared" si="45"/>
        <v>0</v>
      </c>
      <c r="W346">
        <f t="shared" si="46"/>
        <v>31107.420000000002</v>
      </c>
      <c r="X346">
        <f t="shared" si="47"/>
        <v>10960.760000000002</v>
      </c>
      <c r="Y346" s="4">
        <f t="shared" si="48"/>
        <v>0.3523519468988428</v>
      </c>
      <c r="Z346">
        <f t="shared" si="49"/>
        <v>0</v>
      </c>
      <c r="AA346">
        <f t="shared" si="50"/>
        <v>3</v>
      </c>
      <c r="AB346">
        <f t="shared" si="51"/>
        <v>2024</v>
      </c>
      <c r="AC346" t="str">
        <f t="shared" si="52"/>
        <v>Unique</v>
      </c>
      <c r="AD346" t="str">
        <f t="shared" si="53"/>
        <v>Clean</v>
      </c>
    </row>
    <row r="347" spans="1:30" x14ac:dyDescent="0.3">
      <c r="A347" t="s">
        <v>1149</v>
      </c>
      <c r="B347" s="2">
        <v>45549</v>
      </c>
      <c r="C347" s="2">
        <v>45557</v>
      </c>
      <c r="D347" t="s">
        <v>1150</v>
      </c>
      <c r="E347" t="s">
        <v>32</v>
      </c>
      <c r="F347" t="s">
        <v>33</v>
      </c>
      <c r="G347" t="s">
        <v>72</v>
      </c>
      <c r="H347" t="s">
        <v>81</v>
      </c>
      <c r="I347" t="s">
        <v>82</v>
      </c>
      <c r="J347" t="s">
        <v>50</v>
      </c>
      <c r="K347" t="s">
        <v>66</v>
      </c>
      <c r="L347" t="s">
        <v>1151</v>
      </c>
      <c r="M347" t="s">
        <v>40</v>
      </c>
      <c r="N347">
        <v>2</v>
      </c>
      <c r="O347">
        <v>2765.3</v>
      </c>
      <c r="P347" s="3">
        <v>0</v>
      </c>
      <c r="Q347">
        <v>5530.6</v>
      </c>
      <c r="R347">
        <v>4453.1099999999997</v>
      </c>
      <c r="S347">
        <v>1077.49</v>
      </c>
      <c r="T347" t="s">
        <v>41</v>
      </c>
      <c r="U347" t="s">
        <v>42</v>
      </c>
      <c r="V347" s="3">
        <f t="shared" si="45"/>
        <v>0</v>
      </c>
      <c r="W347">
        <f t="shared" si="46"/>
        <v>5530.6</v>
      </c>
      <c r="X347">
        <f t="shared" si="47"/>
        <v>1077.4900000000007</v>
      </c>
      <c r="Y347" s="4">
        <f t="shared" si="48"/>
        <v>0.19482334647235391</v>
      </c>
      <c r="Z347">
        <f t="shared" si="49"/>
        <v>8</v>
      </c>
      <c r="AA347">
        <f t="shared" si="50"/>
        <v>9</v>
      </c>
      <c r="AB347">
        <f t="shared" si="51"/>
        <v>2024</v>
      </c>
      <c r="AC347" t="str">
        <f t="shared" si="52"/>
        <v>Unique</v>
      </c>
      <c r="AD347" t="str">
        <f t="shared" si="53"/>
        <v>Clean</v>
      </c>
    </row>
    <row r="348" spans="1:30" x14ac:dyDescent="0.3">
      <c r="A348" t="s">
        <v>1152</v>
      </c>
      <c r="B348" s="2">
        <v>45860</v>
      </c>
      <c r="C348" s="2">
        <v>45866</v>
      </c>
      <c r="D348" t="s">
        <v>1153</v>
      </c>
      <c r="E348" t="s">
        <v>127</v>
      </c>
      <c r="F348" t="s">
        <v>99</v>
      </c>
      <c r="G348" t="s">
        <v>63</v>
      </c>
      <c r="H348" t="s">
        <v>194</v>
      </c>
      <c r="I348" t="s">
        <v>195</v>
      </c>
      <c r="J348" t="s">
        <v>50</v>
      </c>
      <c r="K348" t="s">
        <v>75</v>
      </c>
      <c r="L348" t="s">
        <v>1154</v>
      </c>
      <c r="M348" t="s">
        <v>40</v>
      </c>
      <c r="N348">
        <v>6</v>
      </c>
      <c r="O348">
        <v>1607.46</v>
      </c>
      <c r="P348" s="3">
        <v>0.2</v>
      </c>
      <c r="Q348">
        <v>7715.81</v>
      </c>
      <c r="R348">
        <v>4258.42</v>
      </c>
      <c r="S348">
        <v>3457.39</v>
      </c>
      <c r="T348" t="s">
        <v>41</v>
      </c>
      <c r="U348" t="s">
        <v>42</v>
      </c>
      <c r="V348" s="3">
        <f t="shared" si="45"/>
        <v>0.2</v>
      </c>
      <c r="W348">
        <f t="shared" si="46"/>
        <v>7715.8080000000009</v>
      </c>
      <c r="X348">
        <f t="shared" si="47"/>
        <v>3457.3880000000008</v>
      </c>
      <c r="Y348" s="4">
        <f t="shared" si="48"/>
        <v>0.4480915025360922</v>
      </c>
      <c r="Z348">
        <f t="shared" si="49"/>
        <v>6</v>
      </c>
      <c r="AA348">
        <f t="shared" si="50"/>
        <v>7</v>
      </c>
      <c r="AB348">
        <f t="shared" si="51"/>
        <v>2025</v>
      </c>
      <c r="AC348" t="str">
        <f t="shared" si="52"/>
        <v>Unique</v>
      </c>
      <c r="AD348" t="str">
        <f t="shared" si="53"/>
        <v>Clean</v>
      </c>
    </row>
    <row r="349" spans="1:30" x14ac:dyDescent="0.3">
      <c r="A349" t="s">
        <v>1155</v>
      </c>
      <c r="B349" s="2">
        <v>45627</v>
      </c>
      <c r="C349" s="2">
        <v>45634</v>
      </c>
      <c r="D349" t="s">
        <v>1156</v>
      </c>
      <c r="E349" t="s">
        <v>137</v>
      </c>
      <c r="F349" t="s">
        <v>46</v>
      </c>
      <c r="G349" t="s">
        <v>72</v>
      </c>
      <c r="H349" t="s">
        <v>199</v>
      </c>
      <c r="I349" t="s">
        <v>200</v>
      </c>
      <c r="J349" t="s">
        <v>50</v>
      </c>
      <c r="K349" t="s">
        <v>75</v>
      </c>
      <c r="L349" t="s">
        <v>1157</v>
      </c>
      <c r="M349" t="s">
        <v>40</v>
      </c>
      <c r="N349">
        <v>5</v>
      </c>
      <c r="O349">
        <v>2981.49</v>
      </c>
      <c r="P349" s="3">
        <v>0.2</v>
      </c>
      <c r="Q349">
        <v>11925.96</v>
      </c>
      <c r="R349">
        <v>10103.51</v>
      </c>
      <c r="S349">
        <v>1822.45</v>
      </c>
      <c r="T349" t="s">
        <v>111</v>
      </c>
      <c r="U349" t="s">
        <v>112</v>
      </c>
      <c r="V349" s="3">
        <f t="shared" si="45"/>
        <v>0.2</v>
      </c>
      <c r="W349">
        <f t="shared" si="46"/>
        <v>11925.96</v>
      </c>
      <c r="X349">
        <f t="shared" si="47"/>
        <v>1822.4499999999989</v>
      </c>
      <c r="Y349" s="4">
        <f t="shared" si="48"/>
        <v>0.15281369382422874</v>
      </c>
      <c r="Z349">
        <f t="shared" si="49"/>
        <v>7</v>
      </c>
      <c r="AA349">
        <f t="shared" si="50"/>
        <v>12</v>
      </c>
      <c r="AB349">
        <f t="shared" si="51"/>
        <v>2024</v>
      </c>
      <c r="AC349" t="str">
        <f t="shared" si="52"/>
        <v>Unique</v>
      </c>
      <c r="AD349" t="str">
        <f t="shared" si="53"/>
        <v>Clean</v>
      </c>
    </row>
    <row r="350" spans="1:30" x14ac:dyDescent="0.3">
      <c r="A350" t="s">
        <v>1158</v>
      </c>
      <c r="B350" s="2">
        <v>45445</v>
      </c>
      <c r="C350" s="2">
        <v>45450</v>
      </c>
      <c r="D350" t="s">
        <v>1159</v>
      </c>
      <c r="E350" t="s">
        <v>137</v>
      </c>
      <c r="F350" t="s">
        <v>99</v>
      </c>
      <c r="G350" t="s">
        <v>63</v>
      </c>
      <c r="H350" t="s">
        <v>184</v>
      </c>
      <c r="I350" t="s">
        <v>185</v>
      </c>
      <c r="J350" t="s">
        <v>83</v>
      </c>
      <c r="K350" t="s">
        <v>180</v>
      </c>
      <c r="L350" t="s">
        <v>1160</v>
      </c>
      <c r="M350" t="s">
        <v>53</v>
      </c>
      <c r="N350">
        <v>9</v>
      </c>
      <c r="O350">
        <v>2860.26</v>
      </c>
      <c r="P350" s="3">
        <v>0.25</v>
      </c>
      <c r="Q350">
        <v>19306.759999999998</v>
      </c>
      <c r="R350">
        <v>14442.38</v>
      </c>
      <c r="S350">
        <v>4864.38</v>
      </c>
      <c r="T350" t="s">
        <v>41</v>
      </c>
      <c r="U350" t="s">
        <v>42</v>
      </c>
      <c r="V350" s="3">
        <f t="shared" si="45"/>
        <v>0.25</v>
      </c>
      <c r="W350">
        <f t="shared" si="46"/>
        <v>19306.755000000005</v>
      </c>
      <c r="X350">
        <f t="shared" si="47"/>
        <v>4864.3750000000055</v>
      </c>
      <c r="Y350" s="4">
        <f t="shared" si="48"/>
        <v>0.25195197225012717</v>
      </c>
      <c r="Z350">
        <f t="shared" si="49"/>
        <v>5</v>
      </c>
      <c r="AA350">
        <f t="shared" si="50"/>
        <v>6</v>
      </c>
      <c r="AB350">
        <f t="shared" si="51"/>
        <v>2024</v>
      </c>
      <c r="AC350" t="str">
        <f t="shared" si="52"/>
        <v>Unique</v>
      </c>
      <c r="AD350" t="str">
        <f t="shared" si="53"/>
        <v>Clean</v>
      </c>
    </row>
    <row r="351" spans="1:30" x14ac:dyDescent="0.3">
      <c r="A351" t="s">
        <v>1161</v>
      </c>
      <c r="B351" s="2">
        <v>45927</v>
      </c>
      <c r="C351" s="2">
        <v>45929</v>
      </c>
      <c r="D351" t="s">
        <v>1162</v>
      </c>
      <c r="E351" t="s">
        <v>274</v>
      </c>
      <c r="F351" t="s">
        <v>104</v>
      </c>
      <c r="G351" t="s">
        <v>47</v>
      </c>
      <c r="H351" t="s">
        <v>238</v>
      </c>
      <c r="I351" t="s">
        <v>239</v>
      </c>
      <c r="J351" t="s">
        <v>50</v>
      </c>
      <c r="K351" t="s">
        <v>66</v>
      </c>
      <c r="L351" t="s">
        <v>1163</v>
      </c>
      <c r="M351" t="s">
        <v>40</v>
      </c>
      <c r="N351">
        <v>9</v>
      </c>
      <c r="O351">
        <v>2867.55</v>
      </c>
      <c r="P351" s="3">
        <v>0.25</v>
      </c>
      <c r="Q351">
        <v>19355.96</v>
      </c>
      <c r="R351">
        <v>15012.45</v>
      </c>
      <c r="S351">
        <v>4017.4</v>
      </c>
      <c r="T351" t="s">
        <v>41</v>
      </c>
      <c r="U351" t="s">
        <v>42</v>
      </c>
      <c r="V351" s="3">
        <f t="shared" si="45"/>
        <v>0.25</v>
      </c>
      <c r="W351">
        <f t="shared" si="46"/>
        <v>19355.962500000001</v>
      </c>
      <c r="X351">
        <f t="shared" si="47"/>
        <v>4343.5125000000007</v>
      </c>
      <c r="Y351" s="4">
        <f t="shared" si="48"/>
        <v>0.22440178317146461</v>
      </c>
      <c r="Z351">
        <f t="shared" si="49"/>
        <v>2</v>
      </c>
      <c r="AA351">
        <f t="shared" si="50"/>
        <v>9</v>
      </c>
      <c r="AB351">
        <f t="shared" si="51"/>
        <v>2025</v>
      </c>
      <c r="AC351" t="str">
        <f t="shared" si="52"/>
        <v>Unique</v>
      </c>
      <c r="AD351" t="str">
        <f t="shared" si="53"/>
        <v>Clean</v>
      </c>
    </row>
    <row r="352" spans="1:30" x14ac:dyDescent="0.3">
      <c r="A352" t="s">
        <v>1164</v>
      </c>
      <c r="B352" s="2">
        <v>45298</v>
      </c>
      <c r="C352" s="2">
        <v>45305</v>
      </c>
      <c r="D352" t="s">
        <v>1165</v>
      </c>
      <c r="E352" t="s">
        <v>141</v>
      </c>
      <c r="F352" t="s">
        <v>46</v>
      </c>
      <c r="G352" t="s">
        <v>47</v>
      </c>
      <c r="H352" t="s">
        <v>238</v>
      </c>
      <c r="I352" t="s">
        <v>239</v>
      </c>
      <c r="J352" t="s">
        <v>50</v>
      </c>
      <c r="K352" t="s">
        <v>66</v>
      </c>
      <c r="L352" t="s">
        <v>1166</v>
      </c>
      <c r="M352" t="s">
        <v>40</v>
      </c>
      <c r="N352">
        <v>4</v>
      </c>
      <c r="O352">
        <v>3309.54</v>
      </c>
      <c r="P352" s="3">
        <v>0.1</v>
      </c>
      <c r="Q352">
        <v>11914.34</v>
      </c>
      <c r="R352">
        <v>9771.24</v>
      </c>
      <c r="S352">
        <v>2143.1</v>
      </c>
      <c r="T352" t="s">
        <v>111</v>
      </c>
      <c r="U352" t="s">
        <v>112</v>
      </c>
      <c r="V352" s="3">
        <f t="shared" si="45"/>
        <v>0.1</v>
      </c>
      <c r="W352">
        <f t="shared" si="46"/>
        <v>11914.344000000001</v>
      </c>
      <c r="X352">
        <f t="shared" si="47"/>
        <v>2143.1040000000012</v>
      </c>
      <c r="Y352" s="4">
        <f t="shared" si="48"/>
        <v>0.17987595456367561</v>
      </c>
      <c r="Z352">
        <f t="shared" si="49"/>
        <v>7</v>
      </c>
      <c r="AA352">
        <f t="shared" si="50"/>
        <v>1</v>
      </c>
      <c r="AB352">
        <f t="shared" si="51"/>
        <v>2024</v>
      </c>
      <c r="AC352" t="str">
        <f t="shared" si="52"/>
        <v>Unique</v>
      </c>
      <c r="AD352" t="str">
        <f t="shared" si="53"/>
        <v>Clean</v>
      </c>
    </row>
    <row r="353" spans="1:30" x14ac:dyDescent="0.3">
      <c r="A353" t="s">
        <v>1167</v>
      </c>
      <c r="B353" s="2">
        <v>45800</v>
      </c>
      <c r="C353" s="2">
        <v>45804</v>
      </c>
      <c r="D353" t="s">
        <v>1168</v>
      </c>
      <c r="E353" t="s">
        <v>80</v>
      </c>
      <c r="F353" t="s">
        <v>46</v>
      </c>
      <c r="G353" t="s">
        <v>63</v>
      </c>
      <c r="H353" t="s">
        <v>64</v>
      </c>
      <c r="I353" t="s">
        <v>65</v>
      </c>
      <c r="J353" t="s">
        <v>37</v>
      </c>
      <c r="K353" t="s">
        <v>133</v>
      </c>
      <c r="L353" t="s">
        <v>1169</v>
      </c>
      <c r="M353" t="s">
        <v>59</v>
      </c>
      <c r="N353">
        <v>6</v>
      </c>
      <c r="O353">
        <v>719.44</v>
      </c>
      <c r="P353" s="3">
        <v>0.25</v>
      </c>
      <c r="Q353">
        <v>3237.48</v>
      </c>
      <c r="R353">
        <v>2118.34</v>
      </c>
      <c r="S353">
        <v>1119.1400000000001</v>
      </c>
      <c r="T353" t="s">
        <v>120</v>
      </c>
      <c r="U353" t="s">
        <v>77</v>
      </c>
      <c r="V353" s="3">
        <f t="shared" si="45"/>
        <v>0.25</v>
      </c>
      <c r="W353">
        <f t="shared" si="46"/>
        <v>3237.4800000000005</v>
      </c>
      <c r="X353">
        <f t="shared" si="47"/>
        <v>1119.1400000000003</v>
      </c>
      <c r="Y353" s="4">
        <f t="shared" si="48"/>
        <v>0.34568244437031276</v>
      </c>
      <c r="Z353">
        <f t="shared" si="49"/>
        <v>4</v>
      </c>
      <c r="AA353">
        <f t="shared" si="50"/>
        <v>5</v>
      </c>
      <c r="AB353">
        <f t="shared" si="51"/>
        <v>2025</v>
      </c>
      <c r="AC353" t="str">
        <f t="shared" si="52"/>
        <v>Unique</v>
      </c>
      <c r="AD353" t="str">
        <f t="shared" si="53"/>
        <v>Warning</v>
      </c>
    </row>
    <row r="354" spans="1:30" x14ac:dyDescent="0.3">
      <c r="A354" t="s">
        <v>1170</v>
      </c>
      <c r="B354" s="2">
        <v>45884</v>
      </c>
      <c r="C354" s="2">
        <v>45886</v>
      </c>
      <c r="D354" t="s">
        <v>1171</v>
      </c>
      <c r="E354" t="s">
        <v>171</v>
      </c>
      <c r="F354" t="s">
        <v>46</v>
      </c>
      <c r="G354" t="s">
        <v>47</v>
      </c>
      <c r="H354" t="s">
        <v>175</v>
      </c>
      <c r="I354" t="s">
        <v>176</v>
      </c>
      <c r="J354" t="s">
        <v>83</v>
      </c>
      <c r="K354" t="s">
        <v>89</v>
      </c>
      <c r="L354" t="s">
        <v>1172</v>
      </c>
      <c r="M354" t="s">
        <v>59</v>
      </c>
      <c r="N354">
        <v>5</v>
      </c>
      <c r="O354">
        <v>2862.6</v>
      </c>
      <c r="P354" s="3">
        <v>0.25</v>
      </c>
      <c r="Q354">
        <v>10734.75</v>
      </c>
      <c r="R354">
        <v>6475.73</v>
      </c>
      <c r="S354">
        <v>4259.0200000000004</v>
      </c>
      <c r="T354" t="s">
        <v>41</v>
      </c>
      <c r="U354" t="s">
        <v>42</v>
      </c>
      <c r="V354" s="3">
        <f t="shared" si="45"/>
        <v>0.25</v>
      </c>
      <c r="W354">
        <f t="shared" si="46"/>
        <v>10734.75</v>
      </c>
      <c r="X354">
        <f t="shared" si="47"/>
        <v>4259.0200000000004</v>
      </c>
      <c r="Y354" s="4">
        <f t="shared" si="48"/>
        <v>0.39675073942103917</v>
      </c>
      <c r="Z354">
        <f t="shared" si="49"/>
        <v>2</v>
      </c>
      <c r="AA354">
        <f t="shared" si="50"/>
        <v>8</v>
      </c>
      <c r="AB354">
        <f t="shared" si="51"/>
        <v>2025</v>
      </c>
      <c r="AC354" t="str">
        <f t="shared" si="52"/>
        <v>Unique</v>
      </c>
      <c r="AD354" t="str">
        <f t="shared" si="53"/>
        <v>Clean</v>
      </c>
    </row>
    <row r="355" spans="1:30" x14ac:dyDescent="0.3">
      <c r="A355" t="s">
        <v>1173</v>
      </c>
      <c r="B355" s="2">
        <v>45709</v>
      </c>
      <c r="C355" s="2">
        <v>45715</v>
      </c>
      <c r="D355" t="s">
        <v>1174</v>
      </c>
      <c r="E355" t="s">
        <v>71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 t="s">
        <v>57</v>
      </c>
      <c r="L355" t="s">
        <v>1175</v>
      </c>
      <c r="M355" t="s">
        <v>53</v>
      </c>
      <c r="N355">
        <v>9</v>
      </c>
      <c r="O355">
        <v>1431.67</v>
      </c>
      <c r="P355" s="3">
        <v>0.2</v>
      </c>
      <c r="Q355">
        <v>10308.02</v>
      </c>
      <c r="R355">
        <v>5822.31</v>
      </c>
      <c r="S355">
        <v>4485.71</v>
      </c>
      <c r="T355" t="s">
        <v>41</v>
      </c>
      <c r="U355" t="s">
        <v>42</v>
      </c>
      <c r="V355" s="3">
        <f t="shared" si="45"/>
        <v>0.2</v>
      </c>
      <c r="W355">
        <f t="shared" si="46"/>
        <v>10308.024000000001</v>
      </c>
      <c r="X355">
        <f t="shared" si="47"/>
        <v>4485.7140000000009</v>
      </c>
      <c r="Y355" s="4">
        <f t="shared" si="48"/>
        <v>0.4351672056642476</v>
      </c>
      <c r="Z355">
        <f t="shared" si="49"/>
        <v>6</v>
      </c>
      <c r="AA355">
        <f t="shared" si="50"/>
        <v>2</v>
      </c>
      <c r="AB355">
        <f t="shared" si="51"/>
        <v>2025</v>
      </c>
      <c r="AC355" t="str">
        <f t="shared" si="52"/>
        <v>Unique</v>
      </c>
      <c r="AD355" t="str">
        <f t="shared" si="53"/>
        <v>Clean</v>
      </c>
    </row>
    <row r="356" spans="1:30" x14ac:dyDescent="0.3">
      <c r="A356" t="s">
        <v>1176</v>
      </c>
      <c r="B356" s="2">
        <v>45653</v>
      </c>
      <c r="C356" s="2">
        <v>45657</v>
      </c>
      <c r="D356" t="s">
        <v>1177</v>
      </c>
      <c r="E356" t="s">
        <v>274</v>
      </c>
      <c r="F356" t="s">
        <v>99</v>
      </c>
      <c r="G356" t="s">
        <v>34</v>
      </c>
      <c r="H356" t="s">
        <v>131</v>
      </c>
      <c r="I356" t="s">
        <v>132</v>
      </c>
      <c r="J356" t="s">
        <v>50</v>
      </c>
      <c r="K356" t="s">
        <v>66</v>
      </c>
      <c r="L356" t="s">
        <v>1178</v>
      </c>
      <c r="M356" t="s">
        <v>68</v>
      </c>
      <c r="N356">
        <v>6</v>
      </c>
      <c r="O356">
        <v>3346.78</v>
      </c>
      <c r="P356" s="3">
        <v>-0.06</v>
      </c>
      <c r="Q356">
        <v>20080.68</v>
      </c>
      <c r="R356">
        <v>12908.84</v>
      </c>
      <c r="S356">
        <v>7171.84</v>
      </c>
      <c r="T356" t="s">
        <v>120</v>
      </c>
      <c r="U356" t="s">
        <v>77</v>
      </c>
      <c r="V356" s="3">
        <f t="shared" si="45"/>
        <v>0.06</v>
      </c>
      <c r="W356">
        <f t="shared" si="46"/>
        <v>18875.839199999999</v>
      </c>
      <c r="X356">
        <f t="shared" si="47"/>
        <v>5966.9991999999984</v>
      </c>
      <c r="Y356" s="4">
        <f t="shared" si="48"/>
        <v>0.31611835303195412</v>
      </c>
      <c r="Z356">
        <f t="shared" si="49"/>
        <v>4</v>
      </c>
      <c r="AA356">
        <f t="shared" si="50"/>
        <v>12</v>
      </c>
      <c r="AB356">
        <f t="shared" si="51"/>
        <v>2024</v>
      </c>
      <c r="AC356" t="str">
        <f t="shared" si="52"/>
        <v>Unique</v>
      </c>
      <c r="AD356" t="str">
        <f t="shared" si="53"/>
        <v>Invalid</v>
      </c>
    </row>
    <row r="357" spans="1:30" x14ac:dyDescent="0.3">
      <c r="A357" t="s">
        <v>1179</v>
      </c>
      <c r="B357" s="2">
        <v>45424</v>
      </c>
      <c r="C357" s="2">
        <v>45421</v>
      </c>
      <c r="D357" t="s">
        <v>1180</v>
      </c>
      <c r="E357" t="s">
        <v>123</v>
      </c>
      <c r="F357" t="s">
        <v>99</v>
      </c>
      <c r="G357" t="s">
        <v>72</v>
      </c>
      <c r="H357" t="s">
        <v>35</v>
      </c>
      <c r="I357" t="s">
        <v>118</v>
      </c>
      <c r="J357" t="s">
        <v>50</v>
      </c>
      <c r="K357" t="s">
        <v>51</v>
      </c>
      <c r="L357" t="s">
        <v>1181</v>
      </c>
      <c r="M357" t="s">
        <v>68</v>
      </c>
      <c r="N357">
        <v>5</v>
      </c>
      <c r="O357">
        <v>3203.48</v>
      </c>
      <c r="P357" s="3">
        <v>0</v>
      </c>
      <c r="Q357">
        <v>16017.4</v>
      </c>
      <c r="R357">
        <v>9557.7999999999993</v>
      </c>
      <c r="S357">
        <v>6459.6</v>
      </c>
      <c r="T357" t="s">
        <v>120</v>
      </c>
      <c r="U357" t="s">
        <v>77</v>
      </c>
      <c r="V357" s="3">
        <f t="shared" si="45"/>
        <v>0</v>
      </c>
      <c r="W357">
        <f t="shared" si="46"/>
        <v>16017.4</v>
      </c>
      <c r="X357">
        <f t="shared" si="47"/>
        <v>6459.6</v>
      </c>
      <c r="Y357" s="4">
        <f t="shared" si="48"/>
        <v>0.40328642601171227</v>
      </c>
      <c r="Z357">
        <f t="shared" si="49"/>
        <v>-3</v>
      </c>
      <c r="AA357">
        <f t="shared" si="50"/>
        <v>5</v>
      </c>
      <c r="AB357">
        <f t="shared" si="51"/>
        <v>2024</v>
      </c>
      <c r="AC357" t="str">
        <f t="shared" si="52"/>
        <v>Unique</v>
      </c>
      <c r="AD357" t="str">
        <f t="shared" si="53"/>
        <v>Invalid</v>
      </c>
    </row>
    <row r="358" spans="1:30" x14ac:dyDescent="0.3">
      <c r="A358" t="s">
        <v>1182</v>
      </c>
      <c r="B358" s="2">
        <v>45835</v>
      </c>
      <c r="C358" s="2">
        <v>45837</v>
      </c>
      <c r="D358" t="s">
        <v>1183</v>
      </c>
      <c r="E358" t="s">
        <v>150</v>
      </c>
      <c r="F358" t="s">
        <v>104</v>
      </c>
      <c r="G358" t="s">
        <v>63</v>
      </c>
      <c r="H358" t="s">
        <v>64</v>
      </c>
      <c r="I358" t="s">
        <v>65</v>
      </c>
      <c r="J358" t="s">
        <v>50</v>
      </c>
      <c r="K358" t="s">
        <v>75</v>
      </c>
      <c r="L358" t="s">
        <v>1184</v>
      </c>
      <c r="M358" t="s">
        <v>59</v>
      </c>
      <c r="N358">
        <v>5</v>
      </c>
      <c r="O358">
        <v>621.70000000000005</v>
      </c>
      <c r="P358" s="3">
        <v>0.2</v>
      </c>
      <c r="Q358">
        <v>2486.8000000000002</v>
      </c>
      <c r="R358">
        <v>2131.73</v>
      </c>
      <c r="S358">
        <v>355.07</v>
      </c>
      <c r="T358" t="s">
        <v>120</v>
      </c>
      <c r="U358" t="s">
        <v>112</v>
      </c>
      <c r="V358" s="3">
        <f t="shared" si="45"/>
        <v>0.2</v>
      </c>
      <c r="W358">
        <f t="shared" si="46"/>
        <v>2486.8000000000002</v>
      </c>
      <c r="X358">
        <f t="shared" si="47"/>
        <v>355.07000000000016</v>
      </c>
      <c r="Y358" s="4">
        <f t="shared" si="48"/>
        <v>0.1427818883705968</v>
      </c>
      <c r="Z358">
        <f t="shared" si="49"/>
        <v>2</v>
      </c>
      <c r="AA358">
        <f t="shared" si="50"/>
        <v>6</v>
      </c>
      <c r="AB358">
        <f t="shared" si="51"/>
        <v>2025</v>
      </c>
      <c r="AC358" t="str">
        <f t="shared" si="52"/>
        <v>Unique</v>
      </c>
      <c r="AD358" t="str">
        <f t="shared" si="53"/>
        <v>Clean</v>
      </c>
    </row>
    <row r="359" spans="1:30" x14ac:dyDescent="0.3">
      <c r="A359" t="s">
        <v>1185</v>
      </c>
      <c r="B359" s="2">
        <v>45678</v>
      </c>
      <c r="C359" s="2">
        <v>45686</v>
      </c>
      <c r="D359" t="s">
        <v>1186</v>
      </c>
      <c r="E359" t="s">
        <v>45</v>
      </c>
      <c r="F359" t="s">
        <v>104</v>
      </c>
      <c r="G359" t="s">
        <v>63</v>
      </c>
      <c r="H359" t="s">
        <v>93</v>
      </c>
      <c r="I359" t="s">
        <v>94</v>
      </c>
      <c r="J359" t="s">
        <v>83</v>
      </c>
      <c r="K359" t="s">
        <v>284</v>
      </c>
      <c r="L359" t="s">
        <v>1187</v>
      </c>
      <c r="M359" t="s">
        <v>40</v>
      </c>
      <c r="N359">
        <v>8</v>
      </c>
      <c r="O359">
        <v>546.13</v>
      </c>
      <c r="P359" s="3">
        <v>0</v>
      </c>
      <c r="Q359">
        <v>4369.04</v>
      </c>
      <c r="R359">
        <v>3716.88</v>
      </c>
      <c r="S359">
        <v>652.16</v>
      </c>
      <c r="T359" t="s">
        <v>41</v>
      </c>
      <c r="U359" t="s">
        <v>77</v>
      </c>
      <c r="V359" s="3">
        <f t="shared" si="45"/>
        <v>0</v>
      </c>
      <c r="W359">
        <f t="shared" si="46"/>
        <v>4369.04</v>
      </c>
      <c r="X359">
        <f t="shared" si="47"/>
        <v>652.15999999999985</v>
      </c>
      <c r="Y359" s="4">
        <f t="shared" si="48"/>
        <v>0.14926848918755603</v>
      </c>
      <c r="Z359">
        <f t="shared" si="49"/>
        <v>8</v>
      </c>
      <c r="AA359">
        <f t="shared" si="50"/>
        <v>1</v>
      </c>
      <c r="AB359">
        <f t="shared" si="51"/>
        <v>2025</v>
      </c>
      <c r="AC359" t="str">
        <f t="shared" si="52"/>
        <v>Unique</v>
      </c>
      <c r="AD359" t="str">
        <f t="shared" si="53"/>
        <v>Warning</v>
      </c>
    </row>
    <row r="360" spans="1:30" x14ac:dyDescent="0.3">
      <c r="A360" t="s">
        <v>1188</v>
      </c>
      <c r="B360" s="2">
        <v>45878</v>
      </c>
      <c r="C360" s="2">
        <v>45876</v>
      </c>
      <c r="D360" t="s">
        <v>1189</v>
      </c>
      <c r="E360" t="s">
        <v>80</v>
      </c>
      <c r="F360" t="s">
        <v>104</v>
      </c>
      <c r="G360" t="s">
        <v>72</v>
      </c>
      <c r="H360" t="s">
        <v>189</v>
      </c>
      <c r="I360" t="s">
        <v>190</v>
      </c>
      <c r="J360" t="s">
        <v>50</v>
      </c>
      <c r="K360" t="s">
        <v>167</v>
      </c>
      <c r="L360" t="s">
        <v>1190</v>
      </c>
      <c r="M360" t="s">
        <v>40</v>
      </c>
      <c r="N360">
        <v>5</v>
      </c>
      <c r="O360">
        <v>1253.92</v>
      </c>
      <c r="P360" s="3">
        <v>0.05</v>
      </c>
      <c r="Q360">
        <v>5956.12</v>
      </c>
      <c r="R360">
        <v>4379.18</v>
      </c>
      <c r="S360">
        <v>1576.94</v>
      </c>
      <c r="T360" t="s">
        <v>120</v>
      </c>
      <c r="U360" t="s">
        <v>112</v>
      </c>
      <c r="V360" s="3">
        <f t="shared" si="45"/>
        <v>0.05</v>
      </c>
      <c r="W360">
        <f t="shared" si="46"/>
        <v>5956.12</v>
      </c>
      <c r="X360">
        <f t="shared" si="47"/>
        <v>1576.9399999999996</v>
      </c>
      <c r="Y360" s="4">
        <f t="shared" si="48"/>
        <v>0.26475960860425907</v>
      </c>
      <c r="Z360">
        <f t="shared" si="49"/>
        <v>-2</v>
      </c>
      <c r="AA360">
        <f t="shared" si="50"/>
        <v>8</v>
      </c>
      <c r="AB360">
        <f t="shared" si="51"/>
        <v>2025</v>
      </c>
      <c r="AC360" t="str">
        <f t="shared" si="52"/>
        <v>Unique</v>
      </c>
      <c r="AD360" t="str">
        <f t="shared" si="53"/>
        <v>Invalid</v>
      </c>
    </row>
    <row r="361" spans="1:30" x14ac:dyDescent="0.3">
      <c r="A361" t="s">
        <v>1191</v>
      </c>
      <c r="B361" s="2">
        <v>45525</v>
      </c>
      <c r="C361" s="2">
        <v>45526</v>
      </c>
      <c r="D361" t="s">
        <v>1192</v>
      </c>
      <c r="E361" t="s">
        <v>56</v>
      </c>
      <c r="F361" t="s">
        <v>33</v>
      </c>
      <c r="G361" t="s">
        <v>63</v>
      </c>
      <c r="H361" t="s">
        <v>257</v>
      </c>
      <c r="I361" t="s">
        <v>258</v>
      </c>
      <c r="J361" t="s">
        <v>83</v>
      </c>
      <c r="K361" t="s">
        <v>180</v>
      </c>
      <c r="L361" t="s">
        <v>1193</v>
      </c>
      <c r="M361" t="s">
        <v>53</v>
      </c>
      <c r="N361">
        <v>9</v>
      </c>
      <c r="O361">
        <v>616.96</v>
      </c>
      <c r="P361" s="3">
        <v>0.1</v>
      </c>
      <c r="Q361">
        <v>4997.38</v>
      </c>
      <c r="R361">
        <v>2971.39</v>
      </c>
      <c r="S361">
        <v>2025.99</v>
      </c>
      <c r="T361" t="s">
        <v>41</v>
      </c>
      <c r="U361" t="s">
        <v>42</v>
      </c>
      <c r="V361" s="3">
        <f t="shared" si="45"/>
        <v>0.1</v>
      </c>
      <c r="W361">
        <f t="shared" si="46"/>
        <v>4997.3760000000002</v>
      </c>
      <c r="X361">
        <f t="shared" si="47"/>
        <v>2025.9860000000003</v>
      </c>
      <c r="Y361" s="4">
        <f t="shared" si="48"/>
        <v>0.40540995914656014</v>
      </c>
      <c r="Z361">
        <f t="shared" si="49"/>
        <v>1</v>
      </c>
      <c r="AA361">
        <f t="shared" si="50"/>
        <v>8</v>
      </c>
      <c r="AB361">
        <f t="shared" si="51"/>
        <v>2024</v>
      </c>
      <c r="AC361" t="str">
        <f t="shared" si="52"/>
        <v>Unique</v>
      </c>
      <c r="AD361" t="str">
        <f t="shared" si="53"/>
        <v>Clean</v>
      </c>
    </row>
    <row r="362" spans="1:30" x14ac:dyDescent="0.3">
      <c r="A362" t="s">
        <v>1194</v>
      </c>
      <c r="B362" s="2">
        <v>45460</v>
      </c>
      <c r="C362" s="2">
        <v>45463</v>
      </c>
      <c r="D362" t="s">
        <v>1195</v>
      </c>
      <c r="E362" t="s">
        <v>141</v>
      </c>
      <c r="F362" t="s">
        <v>46</v>
      </c>
      <c r="G362" t="s">
        <v>72</v>
      </c>
      <c r="H362" t="s">
        <v>189</v>
      </c>
      <c r="I362" t="s">
        <v>190</v>
      </c>
      <c r="J362" t="s">
        <v>50</v>
      </c>
      <c r="K362" t="s">
        <v>66</v>
      </c>
      <c r="L362" t="s">
        <v>1196</v>
      </c>
      <c r="M362" t="s">
        <v>68</v>
      </c>
      <c r="N362">
        <v>7</v>
      </c>
      <c r="O362">
        <v>3155.25</v>
      </c>
      <c r="P362" s="3">
        <v>0.2</v>
      </c>
      <c r="Q362">
        <v>17669.400000000001</v>
      </c>
      <c r="R362">
        <v>13718.77</v>
      </c>
      <c r="S362">
        <v>3950.63</v>
      </c>
      <c r="T362" t="s">
        <v>111</v>
      </c>
      <c r="U362" t="s">
        <v>77</v>
      </c>
      <c r="V362" s="3">
        <f t="shared" si="45"/>
        <v>0.2</v>
      </c>
      <c r="W362">
        <f t="shared" si="46"/>
        <v>17669.400000000001</v>
      </c>
      <c r="X362">
        <f t="shared" si="47"/>
        <v>3950.630000000001</v>
      </c>
      <c r="Y362" s="4">
        <f t="shared" si="48"/>
        <v>0.2235859734908939</v>
      </c>
      <c r="Z362">
        <f t="shared" si="49"/>
        <v>3</v>
      </c>
      <c r="AA362">
        <f t="shared" si="50"/>
        <v>6</v>
      </c>
      <c r="AB362">
        <f t="shared" si="51"/>
        <v>2024</v>
      </c>
      <c r="AC362" t="str">
        <f t="shared" si="52"/>
        <v>Unique</v>
      </c>
      <c r="AD362" t="str">
        <f t="shared" si="53"/>
        <v>Warning</v>
      </c>
    </row>
    <row r="363" spans="1:30" x14ac:dyDescent="0.3">
      <c r="A363" t="s">
        <v>1197</v>
      </c>
      <c r="B363" s="2">
        <v>45748</v>
      </c>
      <c r="C363" s="2">
        <v>45749</v>
      </c>
      <c r="D363" t="s">
        <v>1198</v>
      </c>
      <c r="E363" t="s">
        <v>150</v>
      </c>
      <c r="F363" t="s">
        <v>99</v>
      </c>
      <c r="G363" t="s">
        <v>47</v>
      </c>
      <c r="H363" t="s">
        <v>48</v>
      </c>
      <c r="I363" t="s">
        <v>49</v>
      </c>
      <c r="J363" t="s">
        <v>50</v>
      </c>
      <c r="K363" t="s">
        <v>75</v>
      </c>
      <c r="L363" t="s">
        <v>1199</v>
      </c>
      <c r="M363" t="s">
        <v>40</v>
      </c>
      <c r="N363">
        <v>9</v>
      </c>
      <c r="O363">
        <v>4165.58</v>
      </c>
      <c r="P363" s="3">
        <v>0.05</v>
      </c>
      <c r="Q363">
        <v>35615.71</v>
      </c>
      <c r="R363">
        <v>20389.71</v>
      </c>
      <c r="S363">
        <v>15226</v>
      </c>
      <c r="T363" t="s">
        <v>120</v>
      </c>
      <c r="U363" t="s">
        <v>112</v>
      </c>
      <c r="V363" s="3">
        <f t="shared" si="45"/>
        <v>0.05</v>
      </c>
      <c r="W363">
        <f t="shared" si="46"/>
        <v>35615.709000000003</v>
      </c>
      <c r="X363">
        <f t="shared" si="47"/>
        <v>15225.999000000003</v>
      </c>
      <c r="Y363" s="4">
        <f t="shared" si="48"/>
        <v>0.42750795723314122</v>
      </c>
      <c r="Z363">
        <f t="shared" si="49"/>
        <v>1</v>
      </c>
      <c r="AA363">
        <f t="shared" si="50"/>
        <v>4</v>
      </c>
      <c r="AB363">
        <f t="shared" si="51"/>
        <v>2025</v>
      </c>
      <c r="AC363" t="str">
        <f t="shared" si="52"/>
        <v>Unique</v>
      </c>
      <c r="AD363" t="str">
        <f t="shared" si="53"/>
        <v>Clean</v>
      </c>
    </row>
    <row r="364" spans="1:30" x14ac:dyDescent="0.3">
      <c r="A364" t="s">
        <v>1200</v>
      </c>
      <c r="B364" s="2">
        <v>45527</v>
      </c>
      <c r="C364" s="2">
        <v>45529</v>
      </c>
      <c r="D364" t="s">
        <v>1201</v>
      </c>
      <c r="E364" t="s">
        <v>80</v>
      </c>
      <c r="F364" t="s">
        <v>33</v>
      </c>
      <c r="G364" t="s">
        <v>72</v>
      </c>
      <c r="H364" t="s">
        <v>199</v>
      </c>
      <c r="I364" t="s">
        <v>200</v>
      </c>
      <c r="J364" t="s">
        <v>83</v>
      </c>
      <c r="K364" t="s">
        <v>284</v>
      </c>
      <c r="L364" t="s">
        <v>1202</v>
      </c>
      <c r="M364" t="s">
        <v>53</v>
      </c>
      <c r="N364">
        <v>4</v>
      </c>
      <c r="O364">
        <v>491.16</v>
      </c>
      <c r="P364" s="3">
        <v>0.05</v>
      </c>
      <c r="Q364">
        <v>1866.41</v>
      </c>
      <c r="R364">
        <v>1576.49</v>
      </c>
      <c r="S364">
        <v>289.92</v>
      </c>
      <c r="T364" t="s">
        <v>41</v>
      </c>
      <c r="U364" t="s">
        <v>42</v>
      </c>
      <c r="V364" s="3">
        <f t="shared" si="45"/>
        <v>0.05</v>
      </c>
      <c r="W364">
        <f t="shared" si="46"/>
        <v>1866.4079999999999</v>
      </c>
      <c r="X364">
        <f t="shared" si="47"/>
        <v>289.91799999999989</v>
      </c>
      <c r="Y364" s="4">
        <f t="shared" si="48"/>
        <v>0.15533473924243782</v>
      </c>
      <c r="Z364">
        <f t="shared" si="49"/>
        <v>2</v>
      </c>
      <c r="AA364">
        <f t="shared" si="50"/>
        <v>8</v>
      </c>
      <c r="AB364">
        <f t="shared" si="51"/>
        <v>2024</v>
      </c>
      <c r="AC364" t="str">
        <f t="shared" si="52"/>
        <v>Unique</v>
      </c>
      <c r="AD364" t="str">
        <f t="shared" si="53"/>
        <v>Clean</v>
      </c>
    </row>
    <row r="365" spans="1:30" x14ac:dyDescent="0.3">
      <c r="A365" t="s">
        <v>1203</v>
      </c>
      <c r="B365" s="2">
        <v>45845</v>
      </c>
      <c r="C365" s="2">
        <v>45850</v>
      </c>
      <c r="D365" t="s">
        <v>1204</v>
      </c>
      <c r="E365" t="s">
        <v>171</v>
      </c>
      <c r="F365" t="s">
        <v>99</v>
      </c>
      <c r="G365" t="s">
        <v>47</v>
      </c>
      <c r="H365" t="s">
        <v>108</v>
      </c>
      <c r="I365" t="s">
        <v>109</v>
      </c>
      <c r="J365" t="s">
        <v>50</v>
      </c>
      <c r="K365" t="s">
        <v>51</v>
      </c>
      <c r="L365" t="s">
        <v>1205</v>
      </c>
      <c r="M365" t="s">
        <v>40</v>
      </c>
      <c r="N365">
        <v>5</v>
      </c>
      <c r="O365">
        <v>1831.37</v>
      </c>
      <c r="P365" s="3">
        <v>0.25</v>
      </c>
      <c r="Q365">
        <v>6867.64</v>
      </c>
      <c r="R365">
        <v>5205.3599999999997</v>
      </c>
      <c r="S365">
        <v>1662.28</v>
      </c>
      <c r="T365" t="s">
        <v>41</v>
      </c>
      <c r="U365" t="s">
        <v>42</v>
      </c>
      <c r="V365" s="3">
        <f t="shared" si="45"/>
        <v>0.25</v>
      </c>
      <c r="W365">
        <f t="shared" si="46"/>
        <v>6867.6374999999989</v>
      </c>
      <c r="X365">
        <f t="shared" si="47"/>
        <v>1662.2774999999992</v>
      </c>
      <c r="Y365" s="4">
        <f t="shared" si="48"/>
        <v>0.24204502640100028</v>
      </c>
      <c r="Z365">
        <f t="shared" si="49"/>
        <v>5</v>
      </c>
      <c r="AA365">
        <f t="shared" si="50"/>
        <v>7</v>
      </c>
      <c r="AB365">
        <f t="shared" si="51"/>
        <v>2025</v>
      </c>
      <c r="AC365" t="str">
        <f t="shared" si="52"/>
        <v>Unique</v>
      </c>
      <c r="AD365" t="str">
        <f t="shared" si="53"/>
        <v>Clean</v>
      </c>
    </row>
    <row r="366" spans="1:30" x14ac:dyDescent="0.3">
      <c r="A366" t="s">
        <v>1206</v>
      </c>
      <c r="B366" s="2">
        <v>45737</v>
      </c>
      <c r="C366" s="2">
        <v>45740</v>
      </c>
      <c r="D366" t="s">
        <v>1207</v>
      </c>
      <c r="E366" t="s">
        <v>137</v>
      </c>
      <c r="F366" t="s">
        <v>46</v>
      </c>
      <c r="G366" t="s">
        <v>63</v>
      </c>
      <c r="H366" t="s">
        <v>93</v>
      </c>
      <c r="I366" t="s">
        <v>94</v>
      </c>
      <c r="J366" t="s">
        <v>50</v>
      </c>
      <c r="K366" t="s">
        <v>75</v>
      </c>
      <c r="L366" t="s">
        <v>1208</v>
      </c>
      <c r="M366" t="s">
        <v>40</v>
      </c>
      <c r="N366">
        <v>5</v>
      </c>
      <c r="O366">
        <v>1239.1500000000001</v>
      </c>
      <c r="P366" s="3">
        <v>0</v>
      </c>
      <c r="Q366">
        <v>6195.75</v>
      </c>
      <c r="R366">
        <v>3967.02</v>
      </c>
      <c r="S366">
        <v>2228.73</v>
      </c>
      <c r="T366" t="s">
        <v>41</v>
      </c>
      <c r="U366" t="s">
        <v>42</v>
      </c>
      <c r="V366" s="3">
        <f t="shared" si="45"/>
        <v>0</v>
      </c>
      <c r="W366">
        <f t="shared" si="46"/>
        <v>6195.75</v>
      </c>
      <c r="X366">
        <f t="shared" si="47"/>
        <v>2228.73</v>
      </c>
      <c r="Y366" s="4">
        <f t="shared" si="48"/>
        <v>0.35971916232901585</v>
      </c>
      <c r="Z366">
        <f t="shared" si="49"/>
        <v>3</v>
      </c>
      <c r="AA366">
        <f t="shared" si="50"/>
        <v>3</v>
      </c>
      <c r="AB366">
        <f t="shared" si="51"/>
        <v>2025</v>
      </c>
      <c r="AC366" t="str">
        <f t="shared" si="52"/>
        <v>Unique</v>
      </c>
      <c r="AD366" t="str">
        <f t="shared" si="53"/>
        <v>Clean</v>
      </c>
    </row>
    <row r="367" spans="1:30" x14ac:dyDescent="0.3">
      <c r="A367" t="s">
        <v>1209</v>
      </c>
      <c r="B367" s="2">
        <v>45458</v>
      </c>
      <c r="C367" s="2">
        <v>45464</v>
      </c>
      <c r="D367" t="s">
        <v>1210</v>
      </c>
      <c r="E367" t="s">
        <v>98</v>
      </c>
      <c r="F367" t="s">
        <v>99</v>
      </c>
      <c r="G367" t="s">
        <v>72</v>
      </c>
      <c r="H367" t="s">
        <v>199</v>
      </c>
      <c r="I367" t="s">
        <v>200</v>
      </c>
      <c r="J367" t="s">
        <v>83</v>
      </c>
      <c r="K367" t="s">
        <v>84</v>
      </c>
      <c r="L367" t="s">
        <v>1211</v>
      </c>
      <c r="M367" t="s">
        <v>59</v>
      </c>
      <c r="N367">
        <v>8</v>
      </c>
      <c r="O367">
        <v>1706.4</v>
      </c>
      <c r="P367" s="3"/>
      <c r="Q367">
        <v>12968.64</v>
      </c>
      <c r="R367">
        <v>10119.61</v>
      </c>
      <c r="S367">
        <v>2849.03</v>
      </c>
      <c r="T367" t="s">
        <v>41</v>
      </c>
      <c r="U367" t="s">
        <v>42</v>
      </c>
      <c r="V367" s="3">
        <f t="shared" si="45"/>
        <v>0</v>
      </c>
      <c r="W367">
        <f t="shared" si="46"/>
        <v>13651.2</v>
      </c>
      <c r="X367">
        <f t="shared" si="47"/>
        <v>3531.59</v>
      </c>
      <c r="Y367" s="4">
        <f t="shared" si="48"/>
        <v>0.2587017991092358</v>
      </c>
      <c r="Z367">
        <f t="shared" si="49"/>
        <v>6</v>
      </c>
      <c r="AA367">
        <f t="shared" si="50"/>
        <v>6</v>
      </c>
      <c r="AB367">
        <f t="shared" si="51"/>
        <v>2024</v>
      </c>
      <c r="AC367" t="str">
        <f t="shared" si="52"/>
        <v>Unique</v>
      </c>
      <c r="AD367" t="str">
        <f t="shared" si="53"/>
        <v>Clean</v>
      </c>
    </row>
    <row r="368" spans="1:30" x14ac:dyDescent="0.3">
      <c r="A368" t="s">
        <v>1212</v>
      </c>
      <c r="B368" s="2">
        <v>45673</v>
      </c>
      <c r="C368" s="2">
        <v>45679</v>
      </c>
      <c r="D368" t="s">
        <v>1213</v>
      </c>
      <c r="E368" t="s">
        <v>141</v>
      </c>
      <c r="F368" t="s">
        <v>99</v>
      </c>
      <c r="G368" t="s">
        <v>34</v>
      </c>
      <c r="H368" t="s">
        <v>35</v>
      </c>
      <c r="I368" t="s">
        <v>36</v>
      </c>
      <c r="J368" t="s">
        <v>50</v>
      </c>
      <c r="K368" t="s">
        <v>51</v>
      </c>
      <c r="L368" t="s">
        <v>1214</v>
      </c>
      <c r="M368" t="s">
        <v>53</v>
      </c>
      <c r="N368">
        <v>2</v>
      </c>
      <c r="O368">
        <v>4418.28</v>
      </c>
      <c r="P368" s="3">
        <v>0</v>
      </c>
      <c r="Q368">
        <v>8836.56</v>
      </c>
      <c r="R368">
        <v>5867.75</v>
      </c>
      <c r="S368">
        <v>2968.81</v>
      </c>
      <c r="T368" t="s">
        <v>41</v>
      </c>
      <c r="U368" t="s">
        <v>42</v>
      </c>
      <c r="V368" s="3">
        <f t="shared" si="45"/>
        <v>0</v>
      </c>
      <c r="W368">
        <f t="shared" si="46"/>
        <v>8836.56</v>
      </c>
      <c r="X368">
        <f t="shared" si="47"/>
        <v>2968.8099999999995</v>
      </c>
      <c r="Y368" s="4">
        <f t="shared" si="48"/>
        <v>0.33596897435201023</v>
      </c>
      <c r="Z368">
        <f t="shared" si="49"/>
        <v>6</v>
      </c>
      <c r="AA368">
        <f t="shared" si="50"/>
        <v>1</v>
      </c>
      <c r="AB368">
        <f t="shared" si="51"/>
        <v>2025</v>
      </c>
      <c r="AC368" t="str">
        <f t="shared" si="52"/>
        <v>Unique</v>
      </c>
      <c r="AD368" t="str">
        <f t="shared" si="53"/>
        <v>Clean</v>
      </c>
    </row>
    <row r="369" spans="1:30" x14ac:dyDescent="0.3">
      <c r="A369" t="s">
        <v>1215</v>
      </c>
      <c r="B369" s="2">
        <v>45366</v>
      </c>
      <c r="C369" s="2">
        <v>45367</v>
      </c>
      <c r="D369" t="s">
        <v>1216</v>
      </c>
      <c r="E369" t="s">
        <v>150</v>
      </c>
      <c r="F369" t="s">
        <v>33</v>
      </c>
      <c r="G369" t="s">
        <v>34</v>
      </c>
      <c r="H369" t="s">
        <v>360</v>
      </c>
      <c r="I369" t="s">
        <v>361</v>
      </c>
      <c r="J369" t="s">
        <v>37</v>
      </c>
      <c r="K369" t="s">
        <v>57</v>
      </c>
      <c r="L369" t="s">
        <v>1217</v>
      </c>
      <c r="M369" t="s">
        <v>68</v>
      </c>
      <c r="N369">
        <v>6</v>
      </c>
      <c r="O369">
        <v>3815.09</v>
      </c>
      <c r="P369" s="3">
        <v>0.15</v>
      </c>
      <c r="Q369">
        <v>19456.96</v>
      </c>
      <c r="R369">
        <v>14520.06</v>
      </c>
      <c r="S369">
        <v>4936.8999999999996</v>
      </c>
      <c r="T369" t="s">
        <v>164</v>
      </c>
      <c r="U369" t="s">
        <v>77</v>
      </c>
      <c r="V369" s="3">
        <f t="shared" si="45"/>
        <v>0.15</v>
      </c>
      <c r="W369">
        <f t="shared" si="46"/>
        <v>19456.958999999999</v>
      </c>
      <c r="X369">
        <f t="shared" si="47"/>
        <v>4936.8989999999994</v>
      </c>
      <c r="Y369" s="4">
        <f t="shared" si="48"/>
        <v>0.25373435797443988</v>
      </c>
      <c r="Z369">
        <f t="shared" si="49"/>
        <v>1</v>
      </c>
      <c r="AA369">
        <f t="shared" si="50"/>
        <v>3</v>
      </c>
      <c r="AB369">
        <f t="shared" si="51"/>
        <v>2024</v>
      </c>
      <c r="AC369" t="str">
        <f t="shared" si="52"/>
        <v>Unique</v>
      </c>
      <c r="AD369" t="str">
        <f t="shared" si="53"/>
        <v>Warning</v>
      </c>
    </row>
    <row r="370" spans="1:30" x14ac:dyDescent="0.3">
      <c r="A370" t="s">
        <v>1218</v>
      </c>
      <c r="B370" s="2">
        <v>45844</v>
      </c>
      <c r="C370" s="2">
        <v>45844</v>
      </c>
      <c r="D370" t="s">
        <v>1219</v>
      </c>
      <c r="E370" t="s">
        <v>137</v>
      </c>
      <c r="F370" t="s">
        <v>104</v>
      </c>
      <c r="G370" t="s">
        <v>34</v>
      </c>
      <c r="H370" t="s">
        <v>35</v>
      </c>
      <c r="I370" t="s">
        <v>36</v>
      </c>
      <c r="J370" t="s">
        <v>83</v>
      </c>
      <c r="K370" t="s">
        <v>84</v>
      </c>
      <c r="L370" t="s">
        <v>1220</v>
      </c>
      <c r="M370" t="s">
        <v>53</v>
      </c>
      <c r="N370">
        <v>9</v>
      </c>
      <c r="O370">
        <v>243.19</v>
      </c>
      <c r="P370" s="3">
        <v>0.05</v>
      </c>
      <c r="Q370">
        <v>2079.27</v>
      </c>
      <c r="R370">
        <v>1512.17</v>
      </c>
      <c r="S370">
        <v>567.1</v>
      </c>
      <c r="T370" t="s">
        <v>111</v>
      </c>
      <c r="U370" t="s">
        <v>112</v>
      </c>
      <c r="V370" s="3">
        <f t="shared" si="45"/>
        <v>0.05</v>
      </c>
      <c r="W370">
        <f t="shared" si="46"/>
        <v>2079.2745</v>
      </c>
      <c r="X370">
        <f t="shared" si="47"/>
        <v>567.10449999999992</v>
      </c>
      <c r="Y370" s="4">
        <f t="shared" si="48"/>
        <v>0.27274152595051782</v>
      </c>
      <c r="Z370">
        <f t="shared" si="49"/>
        <v>0</v>
      </c>
      <c r="AA370">
        <f t="shared" si="50"/>
        <v>7</v>
      </c>
      <c r="AB370">
        <f t="shared" si="51"/>
        <v>2025</v>
      </c>
      <c r="AC370" t="str">
        <f t="shared" si="52"/>
        <v>Unique</v>
      </c>
      <c r="AD370" t="str">
        <f t="shared" si="53"/>
        <v>Clean</v>
      </c>
    </row>
    <row r="371" spans="1:30" x14ac:dyDescent="0.3">
      <c r="A371" t="s">
        <v>1221</v>
      </c>
      <c r="B371" s="2">
        <v>45680</v>
      </c>
      <c r="C371" s="2">
        <v>45687</v>
      </c>
      <c r="D371" t="s">
        <v>1222</v>
      </c>
      <c r="E371" t="s">
        <v>123</v>
      </c>
      <c r="F371" t="s">
        <v>33</v>
      </c>
      <c r="G371" t="s">
        <v>34</v>
      </c>
      <c r="H371" t="s">
        <v>360</v>
      </c>
      <c r="I371" t="s">
        <v>361</v>
      </c>
      <c r="J371" t="s">
        <v>37</v>
      </c>
      <c r="K371" t="s">
        <v>100</v>
      </c>
      <c r="L371" t="s">
        <v>1223</v>
      </c>
      <c r="M371" t="s">
        <v>68</v>
      </c>
      <c r="N371">
        <v>9</v>
      </c>
      <c r="O371">
        <v>1169.3699999999999</v>
      </c>
      <c r="P371" s="3">
        <v>0.15</v>
      </c>
      <c r="Q371">
        <v>8945.68</v>
      </c>
      <c r="R371">
        <v>6740.35</v>
      </c>
      <c r="S371">
        <v>2205.33</v>
      </c>
      <c r="T371" t="s">
        <v>41</v>
      </c>
      <c r="U371" t="s">
        <v>42</v>
      </c>
      <c r="V371" s="3">
        <f t="shared" si="45"/>
        <v>0.15</v>
      </c>
      <c r="W371">
        <f t="shared" si="46"/>
        <v>8945.6804999999986</v>
      </c>
      <c r="X371">
        <f t="shared" si="47"/>
        <v>2205.3304999999982</v>
      </c>
      <c r="Y371" s="4">
        <f t="shared" si="48"/>
        <v>0.24652462157574245</v>
      </c>
      <c r="Z371">
        <f t="shared" si="49"/>
        <v>7</v>
      </c>
      <c r="AA371">
        <f t="shared" si="50"/>
        <v>1</v>
      </c>
      <c r="AB371">
        <f t="shared" si="51"/>
        <v>2025</v>
      </c>
      <c r="AC371" t="str">
        <f t="shared" si="52"/>
        <v>Unique</v>
      </c>
      <c r="AD371" t="str">
        <f t="shared" si="53"/>
        <v>Clean</v>
      </c>
    </row>
    <row r="372" spans="1:30" x14ac:dyDescent="0.3">
      <c r="A372" t="s">
        <v>1224</v>
      </c>
      <c r="B372" s="2">
        <v>45519</v>
      </c>
      <c r="C372" s="2">
        <v>45525</v>
      </c>
      <c r="D372" t="s">
        <v>1225</v>
      </c>
      <c r="E372" t="s">
        <v>71</v>
      </c>
      <c r="F372" t="s">
        <v>46</v>
      </c>
      <c r="G372" t="s">
        <v>72</v>
      </c>
      <c r="H372" t="s">
        <v>35</v>
      </c>
      <c r="I372" t="s">
        <v>118</v>
      </c>
      <c r="J372" t="s">
        <v>83</v>
      </c>
      <c r="K372" t="s">
        <v>89</v>
      </c>
      <c r="L372" t="s">
        <v>1226</v>
      </c>
      <c r="M372" t="s">
        <v>59</v>
      </c>
      <c r="N372">
        <v>7</v>
      </c>
      <c r="O372">
        <v>2333.81</v>
      </c>
      <c r="P372" s="3">
        <v>0.2</v>
      </c>
      <c r="Q372">
        <v>13069.34</v>
      </c>
      <c r="R372">
        <v>8768.59</v>
      </c>
      <c r="S372">
        <v>4300.75</v>
      </c>
      <c r="T372" t="s">
        <v>41</v>
      </c>
      <c r="U372" t="s">
        <v>42</v>
      </c>
      <c r="V372" s="3">
        <f t="shared" si="45"/>
        <v>0.2</v>
      </c>
      <c r="W372">
        <f t="shared" si="46"/>
        <v>13069.336000000001</v>
      </c>
      <c r="X372">
        <f t="shared" si="47"/>
        <v>4300.746000000001</v>
      </c>
      <c r="Y372" s="4">
        <f t="shared" si="48"/>
        <v>0.32907149988339124</v>
      </c>
      <c r="Z372">
        <f t="shared" si="49"/>
        <v>6</v>
      </c>
      <c r="AA372">
        <f t="shared" si="50"/>
        <v>8</v>
      </c>
      <c r="AB372">
        <f t="shared" si="51"/>
        <v>2024</v>
      </c>
      <c r="AC372" t="str">
        <f t="shared" si="52"/>
        <v>Unique</v>
      </c>
      <c r="AD372" t="str">
        <f t="shared" si="53"/>
        <v>Clean</v>
      </c>
    </row>
    <row r="373" spans="1:30" x14ac:dyDescent="0.3">
      <c r="A373" t="s">
        <v>1227</v>
      </c>
      <c r="B373" s="2">
        <v>45313</v>
      </c>
      <c r="C373" s="2">
        <v>45315</v>
      </c>
      <c r="D373" t="s">
        <v>1228</v>
      </c>
      <c r="E373" t="s">
        <v>171</v>
      </c>
      <c r="F373" t="s">
        <v>104</v>
      </c>
      <c r="G373" t="s">
        <v>72</v>
      </c>
      <c r="H373" t="s">
        <v>73</v>
      </c>
      <c r="I373" t="s">
        <v>74</v>
      </c>
      <c r="J373" t="s">
        <v>37</v>
      </c>
      <c r="K373" t="s">
        <v>57</v>
      </c>
      <c r="L373" t="s">
        <v>1229</v>
      </c>
      <c r="M373" t="s">
        <v>68</v>
      </c>
      <c r="N373">
        <v>6</v>
      </c>
      <c r="O373">
        <v>1026.06</v>
      </c>
      <c r="P373" s="3"/>
      <c r="Q373">
        <v>4617.2700000000004</v>
      </c>
      <c r="R373">
        <v>2981.94</v>
      </c>
      <c r="S373">
        <v>1635.33</v>
      </c>
      <c r="T373" t="s">
        <v>111</v>
      </c>
      <c r="U373" t="s">
        <v>77</v>
      </c>
      <c r="V373" s="3">
        <f t="shared" si="45"/>
        <v>0</v>
      </c>
      <c r="W373">
        <f t="shared" si="46"/>
        <v>6156.36</v>
      </c>
      <c r="X373">
        <f t="shared" si="47"/>
        <v>3174.4199999999996</v>
      </c>
      <c r="Y373" s="4">
        <f t="shared" si="48"/>
        <v>0.51563261407714944</v>
      </c>
      <c r="Z373">
        <f t="shared" si="49"/>
        <v>2</v>
      </c>
      <c r="AA373">
        <f t="shared" si="50"/>
        <v>1</v>
      </c>
      <c r="AB373">
        <f t="shared" si="51"/>
        <v>2024</v>
      </c>
      <c r="AC373" t="str">
        <f t="shared" si="52"/>
        <v>Unique</v>
      </c>
      <c r="AD373" t="str">
        <f t="shared" si="53"/>
        <v>Warning</v>
      </c>
    </row>
    <row r="374" spans="1:30" x14ac:dyDescent="0.3">
      <c r="A374" t="s">
        <v>1230</v>
      </c>
      <c r="B374" s="2">
        <v>45885</v>
      </c>
      <c r="C374" s="2">
        <v>45887</v>
      </c>
      <c r="D374" t="s">
        <v>651</v>
      </c>
      <c r="E374" t="s">
        <v>274</v>
      </c>
      <c r="F374" t="s">
        <v>33</v>
      </c>
      <c r="G374" t="s">
        <v>47</v>
      </c>
      <c r="H374" t="s">
        <v>238</v>
      </c>
      <c r="I374" t="s">
        <v>239</v>
      </c>
      <c r="J374" t="s">
        <v>50</v>
      </c>
      <c r="K374" t="s">
        <v>75</v>
      </c>
      <c r="L374" t="s">
        <v>1231</v>
      </c>
      <c r="M374" t="s">
        <v>53</v>
      </c>
      <c r="N374">
        <v>5</v>
      </c>
      <c r="O374">
        <v>1530.36</v>
      </c>
      <c r="P374" s="3">
        <v>0</v>
      </c>
      <c r="Q374">
        <v>7651.8</v>
      </c>
      <c r="R374">
        <v>5171.78</v>
      </c>
      <c r="S374">
        <v>2480.02</v>
      </c>
      <c r="T374" t="s">
        <v>41</v>
      </c>
      <c r="U374" t="s">
        <v>42</v>
      </c>
      <c r="V374" s="3">
        <f t="shared" si="45"/>
        <v>0</v>
      </c>
      <c r="W374">
        <f t="shared" si="46"/>
        <v>7651.7999999999993</v>
      </c>
      <c r="X374">
        <f t="shared" si="47"/>
        <v>2480.0199999999995</v>
      </c>
      <c r="Y374" s="4">
        <f t="shared" si="48"/>
        <v>0.32410935988917638</v>
      </c>
      <c r="Z374">
        <f t="shared" si="49"/>
        <v>2</v>
      </c>
      <c r="AA374">
        <f t="shared" si="50"/>
        <v>8</v>
      </c>
      <c r="AB374">
        <f t="shared" si="51"/>
        <v>2025</v>
      </c>
      <c r="AC374" t="str">
        <f t="shared" si="52"/>
        <v>Unique</v>
      </c>
      <c r="AD374" t="str">
        <f t="shared" si="53"/>
        <v>Clean</v>
      </c>
    </row>
    <row r="375" spans="1:30" x14ac:dyDescent="0.3">
      <c r="A375" t="s">
        <v>1232</v>
      </c>
      <c r="B375" s="2">
        <v>45760</v>
      </c>
      <c r="C375" s="2">
        <v>45760</v>
      </c>
      <c r="D375" t="s">
        <v>1233</v>
      </c>
      <c r="E375" t="s">
        <v>141</v>
      </c>
      <c r="F375" t="s">
        <v>46</v>
      </c>
      <c r="G375" t="s">
        <v>34</v>
      </c>
      <c r="H375" t="s">
        <v>145</v>
      </c>
      <c r="I375" t="s">
        <v>146</v>
      </c>
      <c r="J375" t="s">
        <v>37</v>
      </c>
      <c r="K375" t="s">
        <v>133</v>
      </c>
      <c r="L375" t="s">
        <v>1234</v>
      </c>
      <c r="M375" t="s">
        <v>40</v>
      </c>
      <c r="N375">
        <v>9</v>
      </c>
      <c r="O375">
        <v>1118.68</v>
      </c>
      <c r="P375" s="3">
        <v>0</v>
      </c>
      <c r="Q375">
        <v>10068.120000000001</v>
      </c>
      <c r="R375">
        <v>8595.3700000000008</v>
      </c>
      <c r="S375">
        <v>1472.75</v>
      </c>
      <c r="T375" t="s">
        <v>41</v>
      </c>
      <c r="U375" t="s">
        <v>42</v>
      </c>
      <c r="V375" s="3">
        <f t="shared" si="45"/>
        <v>0</v>
      </c>
      <c r="W375">
        <f t="shared" si="46"/>
        <v>10068.120000000001</v>
      </c>
      <c r="X375">
        <f t="shared" si="47"/>
        <v>1472.75</v>
      </c>
      <c r="Y375" s="4">
        <f t="shared" si="48"/>
        <v>0.14627855051389932</v>
      </c>
      <c r="Z375">
        <f t="shared" si="49"/>
        <v>0</v>
      </c>
      <c r="AA375">
        <f t="shared" si="50"/>
        <v>4</v>
      </c>
      <c r="AB375">
        <f t="shared" si="51"/>
        <v>2025</v>
      </c>
      <c r="AC375" t="str">
        <f t="shared" si="52"/>
        <v>Conflict - Review</v>
      </c>
      <c r="AD375" t="str">
        <f t="shared" si="53"/>
        <v>Invalid</v>
      </c>
    </row>
    <row r="376" spans="1:30" x14ac:dyDescent="0.3">
      <c r="A376" t="s">
        <v>1235</v>
      </c>
      <c r="B376" s="2">
        <v>45715</v>
      </c>
      <c r="C376" s="2">
        <v>45716</v>
      </c>
      <c r="D376" t="s">
        <v>1236</v>
      </c>
      <c r="E376" t="s">
        <v>98</v>
      </c>
      <c r="F376" t="s">
        <v>46</v>
      </c>
      <c r="G376" t="s">
        <v>34</v>
      </c>
      <c r="H376" t="s">
        <v>145</v>
      </c>
      <c r="I376" t="s">
        <v>146</v>
      </c>
      <c r="J376" t="s">
        <v>37</v>
      </c>
      <c r="K376" t="s">
        <v>100</v>
      </c>
      <c r="L376" t="s">
        <v>1237</v>
      </c>
      <c r="M376" t="s">
        <v>68</v>
      </c>
      <c r="N376">
        <v>6</v>
      </c>
      <c r="O376">
        <v>2393.25</v>
      </c>
      <c r="P376" s="3">
        <v>0</v>
      </c>
      <c r="Q376">
        <v>14359.5</v>
      </c>
      <c r="R376">
        <v>8117.71</v>
      </c>
      <c r="S376">
        <v>6241.79</v>
      </c>
      <c r="T376" t="s">
        <v>41</v>
      </c>
      <c r="U376" t="s">
        <v>42</v>
      </c>
      <c r="V376" s="3">
        <f t="shared" si="45"/>
        <v>0</v>
      </c>
      <c r="W376">
        <f t="shared" si="46"/>
        <v>14359.5</v>
      </c>
      <c r="X376">
        <f t="shared" si="47"/>
        <v>6241.79</v>
      </c>
      <c r="Y376" s="4">
        <f t="shared" si="48"/>
        <v>0.43468017688638183</v>
      </c>
      <c r="Z376">
        <f t="shared" si="49"/>
        <v>1</v>
      </c>
      <c r="AA376">
        <f t="shared" si="50"/>
        <v>2</v>
      </c>
      <c r="AB376">
        <f t="shared" si="51"/>
        <v>2025</v>
      </c>
      <c r="AC376" t="str">
        <f t="shared" si="52"/>
        <v>Unique</v>
      </c>
      <c r="AD376" t="str">
        <f t="shared" si="53"/>
        <v>Clean</v>
      </c>
    </row>
    <row r="377" spans="1:30" x14ac:dyDescent="0.3">
      <c r="A377" t="s">
        <v>1238</v>
      </c>
      <c r="B377" s="2">
        <v>45657</v>
      </c>
      <c r="C377" s="2">
        <v>45661</v>
      </c>
      <c r="D377" t="s">
        <v>1239</v>
      </c>
      <c r="E377" t="s">
        <v>80</v>
      </c>
      <c r="F377" t="s">
        <v>33</v>
      </c>
      <c r="G377" t="s">
        <v>34</v>
      </c>
      <c r="H377" t="s">
        <v>360</v>
      </c>
      <c r="I377" t="s">
        <v>361</v>
      </c>
      <c r="J377" t="s">
        <v>50</v>
      </c>
      <c r="K377" t="s">
        <v>75</v>
      </c>
      <c r="L377" t="s">
        <v>1240</v>
      </c>
      <c r="M377" t="s">
        <v>53</v>
      </c>
      <c r="N377">
        <v>3</v>
      </c>
      <c r="O377">
        <v>1166.6099999999999</v>
      </c>
      <c r="P377" s="3">
        <v>0.25</v>
      </c>
      <c r="Q377">
        <v>2624.87</v>
      </c>
      <c r="R377">
        <v>2253.88</v>
      </c>
      <c r="S377">
        <v>370.99</v>
      </c>
      <c r="T377" t="s">
        <v>41</v>
      </c>
      <c r="U377" t="s">
        <v>42</v>
      </c>
      <c r="V377" s="3">
        <f t="shared" si="45"/>
        <v>0.25</v>
      </c>
      <c r="W377">
        <f t="shared" si="46"/>
        <v>2624.8724999999999</v>
      </c>
      <c r="X377">
        <f t="shared" si="47"/>
        <v>370.99249999999984</v>
      </c>
      <c r="Y377" s="4">
        <f t="shared" si="48"/>
        <v>0.14133734114704613</v>
      </c>
      <c r="Z377">
        <f t="shared" si="49"/>
        <v>4</v>
      </c>
      <c r="AA377">
        <f t="shared" si="50"/>
        <v>12</v>
      </c>
      <c r="AB377">
        <f t="shared" si="51"/>
        <v>2024</v>
      </c>
      <c r="AC377" t="str">
        <f t="shared" si="52"/>
        <v>Unique</v>
      </c>
      <c r="AD377" t="str">
        <f t="shared" si="53"/>
        <v>Clean</v>
      </c>
    </row>
    <row r="378" spans="1:30" x14ac:dyDescent="0.3">
      <c r="A378" t="s">
        <v>1241</v>
      </c>
      <c r="B378" s="2">
        <v>45655</v>
      </c>
      <c r="C378" s="2">
        <v>45657</v>
      </c>
      <c r="D378" t="s">
        <v>1242</v>
      </c>
      <c r="E378" t="s">
        <v>56</v>
      </c>
      <c r="F378" t="s">
        <v>46</v>
      </c>
      <c r="G378" t="s">
        <v>47</v>
      </c>
      <c r="H378" t="s">
        <v>154</v>
      </c>
      <c r="I378" t="s">
        <v>155</v>
      </c>
      <c r="J378" t="s">
        <v>50</v>
      </c>
      <c r="K378" t="s">
        <v>75</v>
      </c>
      <c r="L378" t="s">
        <v>1243</v>
      </c>
      <c r="M378" t="s">
        <v>59</v>
      </c>
      <c r="N378">
        <v>6</v>
      </c>
      <c r="O378">
        <v>1844.78</v>
      </c>
      <c r="P378" s="3">
        <v>0.2</v>
      </c>
      <c r="Q378">
        <v>8854.94</v>
      </c>
      <c r="R378">
        <v>7433.95</v>
      </c>
      <c r="S378">
        <v>1420.99</v>
      </c>
      <c r="T378" t="s">
        <v>41</v>
      </c>
      <c r="U378" t="s">
        <v>42</v>
      </c>
      <c r="V378" s="3">
        <f t="shared" si="45"/>
        <v>0.2</v>
      </c>
      <c r="W378">
        <f t="shared" si="46"/>
        <v>8854.9440000000013</v>
      </c>
      <c r="X378">
        <f t="shared" si="47"/>
        <v>1420.9940000000015</v>
      </c>
      <c r="Y378" s="4">
        <f t="shared" si="48"/>
        <v>0.1604746455765278</v>
      </c>
      <c r="Z378">
        <f t="shared" si="49"/>
        <v>2</v>
      </c>
      <c r="AA378">
        <f t="shared" si="50"/>
        <v>12</v>
      </c>
      <c r="AB378">
        <f t="shared" si="51"/>
        <v>2024</v>
      </c>
      <c r="AC378" t="str">
        <f t="shared" si="52"/>
        <v>Unique</v>
      </c>
      <c r="AD378" t="str">
        <f t="shared" si="53"/>
        <v>Clean</v>
      </c>
    </row>
    <row r="379" spans="1:30" x14ac:dyDescent="0.3">
      <c r="A379" t="s">
        <v>1244</v>
      </c>
      <c r="B379" s="2">
        <v>45801</v>
      </c>
      <c r="C379" s="2">
        <v>45807</v>
      </c>
      <c r="D379" t="s">
        <v>1245</v>
      </c>
      <c r="E379" t="s">
        <v>274</v>
      </c>
      <c r="F379" t="s">
        <v>46</v>
      </c>
      <c r="G379" t="s">
        <v>47</v>
      </c>
      <c r="H379" t="s">
        <v>48</v>
      </c>
      <c r="I379" t="s">
        <v>49</v>
      </c>
      <c r="J379" t="s">
        <v>37</v>
      </c>
      <c r="K379" t="s">
        <v>133</v>
      </c>
      <c r="L379" t="s">
        <v>1246</v>
      </c>
      <c r="M379" t="s">
        <v>53</v>
      </c>
      <c r="N379">
        <v>1</v>
      </c>
      <c r="O379">
        <v>2564.7399999999998</v>
      </c>
      <c r="P379" s="3">
        <v>0</v>
      </c>
      <c r="Q379">
        <v>2564.7399999999998</v>
      </c>
      <c r="R379">
        <v>1754.58</v>
      </c>
      <c r="S379">
        <v>810.16</v>
      </c>
      <c r="T379" t="s">
        <v>41</v>
      </c>
      <c r="U379" t="s">
        <v>42</v>
      </c>
      <c r="V379" s="3">
        <f t="shared" si="45"/>
        <v>0</v>
      </c>
      <c r="W379">
        <f t="shared" si="46"/>
        <v>2564.7399999999998</v>
      </c>
      <c r="X379">
        <f t="shared" si="47"/>
        <v>810.15999999999985</v>
      </c>
      <c r="Y379" s="4">
        <f t="shared" si="48"/>
        <v>0.31588387126960232</v>
      </c>
      <c r="Z379">
        <f t="shared" si="49"/>
        <v>6</v>
      </c>
      <c r="AA379">
        <f t="shared" si="50"/>
        <v>5</v>
      </c>
      <c r="AB379">
        <f t="shared" si="51"/>
        <v>2025</v>
      </c>
      <c r="AC379" t="str">
        <f t="shared" si="52"/>
        <v>Unique</v>
      </c>
      <c r="AD379" t="str">
        <f t="shared" si="53"/>
        <v>Clean</v>
      </c>
    </row>
    <row r="380" spans="1:30" x14ac:dyDescent="0.3">
      <c r="A380" t="s">
        <v>1247</v>
      </c>
      <c r="B380" s="2">
        <v>45799</v>
      </c>
      <c r="C380" s="2">
        <v>45799</v>
      </c>
      <c r="D380" t="s">
        <v>1248</v>
      </c>
      <c r="E380" t="s">
        <v>45</v>
      </c>
      <c r="F380" t="s">
        <v>33</v>
      </c>
      <c r="G380" t="s">
        <v>72</v>
      </c>
      <c r="H380" t="s">
        <v>199</v>
      </c>
      <c r="I380" t="s">
        <v>200</v>
      </c>
      <c r="J380" t="s">
        <v>83</v>
      </c>
      <c r="K380" t="s">
        <v>84</v>
      </c>
      <c r="L380" t="s">
        <v>1249</v>
      </c>
      <c r="M380" t="s">
        <v>68</v>
      </c>
      <c r="N380">
        <v>2</v>
      </c>
      <c r="O380">
        <v>3910.61</v>
      </c>
      <c r="P380" s="3">
        <v>0</v>
      </c>
      <c r="Q380">
        <v>7821.22</v>
      </c>
      <c r="R380">
        <v>4994.46</v>
      </c>
      <c r="S380">
        <v>2826.76</v>
      </c>
      <c r="T380" t="s">
        <v>41</v>
      </c>
      <c r="U380" t="s">
        <v>42</v>
      </c>
      <c r="V380" s="3">
        <f t="shared" si="45"/>
        <v>0</v>
      </c>
      <c r="W380">
        <f t="shared" si="46"/>
        <v>7821.22</v>
      </c>
      <c r="X380">
        <f t="shared" si="47"/>
        <v>2826.76</v>
      </c>
      <c r="Y380" s="4">
        <f t="shared" si="48"/>
        <v>0.36142187535959863</v>
      </c>
      <c r="Z380">
        <f t="shared" si="49"/>
        <v>0</v>
      </c>
      <c r="AA380">
        <f t="shared" si="50"/>
        <v>5</v>
      </c>
      <c r="AB380">
        <f t="shared" si="51"/>
        <v>2025</v>
      </c>
      <c r="AC380" t="str">
        <f t="shared" si="52"/>
        <v>Unique</v>
      </c>
      <c r="AD380" t="str">
        <f t="shared" si="53"/>
        <v>Clean</v>
      </c>
    </row>
    <row r="381" spans="1:30" x14ac:dyDescent="0.3">
      <c r="A381" t="s">
        <v>1250</v>
      </c>
      <c r="B381" s="2">
        <v>45554</v>
      </c>
      <c r="C381" s="2">
        <v>45558</v>
      </c>
      <c r="D381" t="s">
        <v>1251</v>
      </c>
      <c r="E381" t="s">
        <v>45</v>
      </c>
      <c r="F381" t="s">
        <v>46</v>
      </c>
      <c r="G381" t="s">
        <v>63</v>
      </c>
      <c r="H381" t="s">
        <v>194</v>
      </c>
      <c r="I381" t="s">
        <v>195</v>
      </c>
      <c r="J381" t="s">
        <v>37</v>
      </c>
      <c r="K381" t="s">
        <v>38</v>
      </c>
      <c r="L381" t="s">
        <v>1252</v>
      </c>
      <c r="M381" t="s">
        <v>68</v>
      </c>
      <c r="N381">
        <v>7</v>
      </c>
      <c r="O381">
        <v>1136.68</v>
      </c>
      <c r="P381" s="3"/>
      <c r="Q381">
        <v>7956.76</v>
      </c>
      <c r="R381">
        <v>4799.54</v>
      </c>
      <c r="S381">
        <v>3157.22</v>
      </c>
      <c r="T381" t="s">
        <v>41</v>
      </c>
      <c r="U381" t="s">
        <v>42</v>
      </c>
      <c r="V381" s="3">
        <f t="shared" si="45"/>
        <v>0</v>
      </c>
      <c r="W381">
        <f t="shared" si="46"/>
        <v>7956.76</v>
      </c>
      <c r="X381">
        <f t="shared" si="47"/>
        <v>3157.2200000000003</v>
      </c>
      <c r="Y381" s="4">
        <f t="shared" si="48"/>
        <v>0.39679718880549369</v>
      </c>
      <c r="Z381">
        <f t="shared" si="49"/>
        <v>4</v>
      </c>
      <c r="AA381">
        <f t="shared" si="50"/>
        <v>9</v>
      </c>
      <c r="AB381">
        <f t="shared" si="51"/>
        <v>2024</v>
      </c>
      <c r="AC381" t="str">
        <f t="shared" si="52"/>
        <v>Unique</v>
      </c>
      <c r="AD381" t="str">
        <f t="shared" si="53"/>
        <v>Clean</v>
      </c>
    </row>
    <row r="382" spans="1:30" x14ac:dyDescent="0.3">
      <c r="A382" t="s">
        <v>1253</v>
      </c>
      <c r="B382" s="2">
        <v>45389</v>
      </c>
      <c r="C382" s="2">
        <v>45396</v>
      </c>
      <c r="D382" t="s">
        <v>1254</v>
      </c>
      <c r="E382" t="s">
        <v>80</v>
      </c>
      <c r="F382" t="s">
        <v>33</v>
      </c>
      <c r="G382" t="s">
        <v>72</v>
      </c>
      <c r="H382" t="s">
        <v>73</v>
      </c>
      <c r="I382" t="s">
        <v>74</v>
      </c>
      <c r="J382" t="s">
        <v>50</v>
      </c>
      <c r="K382" t="s">
        <v>167</v>
      </c>
      <c r="L382" t="s">
        <v>1255</v>
      </c>
      <c r="M382" t="s">
        <v>53</v>
      </c>
      <c r="N382">
        <v>5</v>
      </c>
      <c r="O382">
        <v>2235.85</v>
      </c>
      <c r="P382" s="3">
        <v>0.25</v>
      </c>
      <c r="Q382">
        <v>8384.44</v>
      </c>
      <c r="R382">
        <v>4765.96</v>
      </c>
      <c r="S382">
        <v>3618.48</v>
      </c>
      <c r="T382" t="s">
        <v>41</v>
      </c>
      <c r="U382" t="s">
        <v>112</v>
      </c>
      <c r="V382" s="3">
        <f t="shared" si="45"/>
        <v>0.25</v>
      </c>
      <c r="W382">
        <f t="shared" si="46"/>
        <v>8384.4375</v>
      </c>
      <c r="X382">
        <f t="shared" si="47"/>
        <v>3618.4775</v>
      </c>
      <c r="Y382" s="4">
        <f t="shared" si="48"/>
        <v>0.43157069272685256</v>
      </c>
      <c r="Z382">
        <f t="shared" si="49"/>
        <v>7</v>
      </c>
      <c r="AA382">
        <f t="shared" si="50"/>
        <v>4</v>
      </c>
      <c r="AB382">
        <f t="shared" si="51"/>
        <v>2024</v>
      </c>
      <c r="AC382" t="str">
        <f t="shared" si="52"/>
        <v>Unique</v>
      </c>
      <c r="AD382" t="str">
        <f t="shared" si="53"/>
        <v>Clean</v>
      </c>
    </row>
    <row r="383" spans="1:30" x14ac:dyDescent="0.3">
      <c r="A383" t="s">
        <v>1256</v>
      </c>
      <c r="B383" s="2">
        <v>45919</v>
      </c>
      <c r="C383" s="2">
        <v>45923</v>
      </c>
      <c r="D383" t="s">
        <v>1257</v>
      </c>
      <c r="E383" t="s">
        <v>62</v>
      </c>
      <c r="F383" t="s">
        <v>104</v>
      </c>
      <c r="G383" t="s">
        <v>34</v>
      </c>
      <c r="H383" t="s">
        <v>360</v>
      </c>
      <c r="I383" t="s">
        <v>361</v>
      </c>
      <c r="J383" t="s">
        <v>37</v>
      </c>
      <c r="K383" t="s">
        <v>162</v>
      </c>
      <c r="L383" t="s">
        <v>1258</v>
      </c>
      <c r="M383" t="s">
        <v>68</v>
      </c>
      <c r="N383">
        <v>4</v>
      </c>
      <c r="O383">
        <v>4387.1499999999996</v>
      </c>
      <c r="P383" s="3">
        <v>0.05</v>
      </c>
      <c r="Q383">
        <v>16671.169999999998</v>
      </c>
      <c r="R383">
        <v>10833.19</v>
      </c>
      <c r="S383">
        <v>5837.98</v>
      </c>
      <c r="T383" t="s">
        <v>164</v>
      </c>
      <c r="U383" t="s">
        <v>77</v>
      </c>
      <c r="V383" s="3">
        <f t="shared" si="45"/>
        <v>0.05</v>
      </c>
      <c r="W383">
        <f t="shared" si="46"/>
        <v>16671.169999999998</v>
      </c>
      <c r="X383">
        <f t="shared" si="47"/>
        <v>5837.9799999999977</v>
      </c>
      <c r="Y383" s="4">
        <f t="shared" si="48"/>
        <v>0.35018418023450054</v>
      </c>
      <c r="Z383">
        <f t="shared" si="49"/>
        <v>4</v>
      </c>
      <c r="AA383">
        <f t="shared" si="50"/>
        <v>9</v>
      </c>
      <c r="AB383">
        <f t="shared" si="51"/>
        <v>2025</v>
      </c>
      <c r="AC383" t="str">
        <f t="shared" si="52"/>
        <v>Unique</v>
      </c>
      <c r="AD383" t="str">
        <f t="shared" si="53"/>
        <v>Warning</v>
      </c>
    </row>
    <row r="384" spans="1:30" x14ac:dyDescent="0.3">
      <c r="A384" t="s">
        <v>1259</v>
      </c>
      <c r="B384" s="2">
        <v>45720</v>
      </c>
      <c r="C384" s="2">
        <v>45724</v>
      </c>
      <c r="D384" t="s">
        <v>166</v>
      </c>
      <c r="E384" t="s">
        <v>62</v>
      </c>
      <c r="F384" t="s">
        <v>46</v>
      </c>
      <c r="G384" t="s">
        <v>47</v>
      </c>
      <c r="H384" t="s">
        <v>154</v>
      </c>
      <c r="I384" t="s">
        <v>155</v>
      </c>
      <c r="J384" t="s">
        <v>83</v>
      </c>
      <c r="K384" t="s">
        <v>180</v>
      </c>
      <c r="L384" t="s">
        <v>1260</v>
      </c>
      <c r="M384" t="s">
        <v>59</v>
      </c>
      <c r="N384">
        <v>3</v>
      </c>
      <c r="O384">
        <v>4361.8500000000004</v>
      </c>
      <c r="P384" s="3">
        <v>0.2</v>
      </c>
      <c r="Q384">
        <v>10468.44</v>
      </c>
      <c r="R384">
        <v>8399.8700000000008</v>
      </c>
      <c r="S384">
        <v>2068.5700000000002</v>
      </c>
      <c r="T384" t="s">
        <v>41</v>
      </c>
      <c r="U384" t="s">
        <v>42</v>
      </c>
      <c r="V384" s="3">
        <f t="shared" si="45"/>
        <v>0.2</v>
      </c>
      <c r="W384">
        <f t="shared" si="46"/>
        <v>10468.440000000002</v>
      </c>
      <c r="X384">
        <f t="shared" si="47"/>
        <v>2068.5700000000015</v>
      </c>
      <c r="Y384" s="4">
        <f t="shared" si="48"/>
        <v>0.19760059760575607</v>
      </c>
      <c r="Z384">
        <f t="shared" si="49"/>
        <v>4</v>
      </c>
      <c r="AA384">
        <f t="shared" si="50"/>
        <v>3</v>
      </c>
      <c r="AB384">
        <f t="shared" si="51"/>
        <v>2025</v>
      </c>
      <c r="AC384" t="str">
        <f t="shared" si="52"/>
        <v>Unique</v>
      </c>
      <c r="AD384" t="str">
        <f t="shared" si="53"/>
        <v>Clean</v>
      </c>
    </row>
    <row r="385" spans="1:30" x14ac:dyDescent="0.3">
      <c r="A385" t="s">
        <v>1261</v>
      </c>
      <c r="B385" s="2">
        <v>45836</v>
      </c>
      <c r="C385" s="2">
        <v>45843</v>
      </c>
      <c r="D385" t="s">
        <v>1262</v>
      </c>
      <c r="E385" t="s">
        <v>80</v>
      </c>
      <c r="F385" t="s">
        <v>99</v>
      </c>
      <c r="G385" t="s">
        <v>47</v>
      </c>
      <c r="H385" t="s">
        <v>108</v>
      </c>
      <c r="I385" t="s">
        <v>109</v>
      </c>
      <c r="J385" t="s">
        <v>37</v>
      </c>
      <c r="K385" t="s">
        <v>57</v>
      </c>
      <c r="L385" t="s">
        <v>1263</v>
      </c>
      <c r="M385" t="s">
        <v>59</v>
      </c>
      <c r="N385">
        <v>2</v>
      </c>
      <c r="O385">
        <v>2242.75</v>
      </c>
      <c r="P385" s="3">
        <v>0</v>
      </c>
      <c r="Q385">
        <v>4485.5</v>
      </c>
      <c r="R385">
        <v>3131.86</v>
      </c>
      <c r="S385">
        <v>1353.64</v>
      </c>
      <c r="T385" t="s">
        <v>41</v>
      </c>
      <c r="U385" t="s">
        <v>77</v>
      </c>
      <c r="V385" s="3">
        <f t="shared" si="45"/>
        <v>0</v>
      </c>
      <c r="W385">
        <f t="shared" si="46"/>
        <v>4485.5</v>
      </c>
      <c r="X385">
        <f t="shared" si="47"/>
        <v>1353.6399999999999</v>
      </c>
      <c r="Y385" s="4">
        <f t="shared" si="48"/>
        <v>0.30178129528480657</v>
      </c>
      <c r="Z385">
        <f t="shared" si="49"/>
        <v>7</v>
      </c>
      <c r="AA385">
        <f t="shared" si="50"/>
        <v>6</v>
      </c>
      <c r="AB385">
        <f t="shared" si="51"/>
        <v>2025</v>
      </c>
      <c r="AC385" t="str">
        <f t="shared" si="52"/>
        <v>Unique</v>
      </c>
      <c r="AD385" t="str">
        <f t="shared" si="53"/>
        <v>Warning</v>
      </c>
    </row>
    <row r="386" spans="1:30" x14ac:dyDescent="0.3">
      <c r="A386" t="s">
        <v>1264</v>
      </c>
      <c r="B386" s="2">
        <v>45366</v>
      </c>
      <c r="C386" s="2">
        <v>45371</v>
      </c>
      <c r="D386" t="s">
        <v>1265</v>
      </c>
      <c r="E386" t="s">
        <v>150</v>
      </c>
      <c r="F386" t="s">
        <v>33</v>
      </c>
      <c r="G386" t="s">
        <v>47</v>
      </c>
      <c r="H386" t="s">
        <v>238</v>
      </c>
      <c r="I386" t="s">
        <v>239</v>
      </c>
      <c r="J386" t="s">
        <v>83</v>
      </c>
      <c r="K386" t="s">
        <v>89</v>
      </c>
      <c r="L386" t="s">
        <v>1266</v>
      </c>
      <c r="M386" t="s">
        <v>68</v>
      </c>
      <c r="N386">
        <v>2</v>
      </c>
      <c r="O386">
        <v>1881.4</v>
      </c>
      <c r="P386" s="3">
        <v>0.25</v>
      </c>
      <c r="Q386">
        <v>2822.1</v>
      </c>
      <c r="R386">
        <v>1624.57</v>
      </c>
      <c r="S386">
        <v>1197.53</v>
      </c>
      <c r="T386" t="s">
        <v>41</v>
      </c>
      <c r="U386" t="s">
        <v>112</v>
      </c>
      <c r="V386" s="3">
        <f t="shared" ref="V386:V449" si="54">IF(P386="",0,IF(ISNUMBER(P386),ABS(P386),IF(RIGHT(P386,1)="%",VALUE(LEFT(P386,LEN(P386)-1))/100,P386)))</f>
        <v>0.25</v>
      </c>
      <c r="W386">
        <f t="shared" ref="W386:W449" si="55">N386*O386*(1-V386)</f>
        <v>2822.1000000000004</v>
      </c>
      <c r="X386">
        <f t="shared" ref="X386:X449" si="56">W386-R386</f>
        <v>1197.5300000000004</v>
      </c>
      <c r="Y386" s="4">
        <f t="shared" ref="Y386:Y449" si="57">IF(W386=0,0,X386/W386)</f>
        <v>0.42434003047376079</v>
      </c>
      <c r="Z386">
        <f t="shared" ref="Z386:Z449" si="58">C386-B386</f>
        <v>5</v>
      </c>
      <c r="AA386">
        <f t="shared" ref="AA386:AA449" si="59">MONTH(B386)</f>
        <v>3</v>
      </c>
      <c r="AB386">
        <f t="shared" ref="AB386:AB449" si="60">YEAR(B386)</f>
        <v>2024</v>
      </c>
      <c r="AC386" t="str">
        <f t="shared" ref="AC386:AC449" si="61">IF(COUNTIF($A$2:$A$913,A386)&gt;1,"Conflict - Review","Unique")</f>
        <v>Unique</v>
      </c>
      <c r="AD386" t="str">
        <f t="shared" ref="AD386:AD449" si="62">IF(OR(C386&lt;B386,AND(ISNUMBER(P386),P386&lt;0),V386&gt;0.65,AC386="Conflict - Review"),"Invalid",IF(OR(G386="Unknown",M386="Unknown",T386="Failed",U386="Cancelled"),"Warning","Clean"))</f>
        <v>Clean</v>
      </c>
    </row>
    <row r="387" spans="1:30" x14ac:dyDescent="0.3">
      <c r="A387" t="s">
        <v>1267</v>
      </c>
      <c r="B387" s="2">
        <v>45832</v>
      </c>
      <c r="C387" s="2">
        <v>45838</v>
      </c>
      <c r="D387" t="s">
        <v>1268</v>
      </c>
      <c r="E387" t="s">
        <v>62</v>
      </c>
      <c r="F387" t="s">
        <v>33</v>
      </c>
      <c r="G387" t="s">
        <v>34</v>
      </c>
      <c r="H387" t="s">
        <v>246</v>
      </c>
      <c r="I387" t="s">
        <v>247</v>
      </c>
      <c r="J387" t="s">
        <v>37</v>
      </c>
      <c r="K387" t="s">
        <v>100</v>
      </c>
      <c r="L387" t="s">
        <v>1269</v>
      </c>
      <c r="M387" t="s">
        <v>68</v>
      </c>
      <c r="N387">
        <v>6</v>
      </c>
      <c r="O387">
        <v>365.76</v>
      </c>
      <c r="P387" s="3">
        <v>0.1</v>
      </c>
      <c r="Q387">
        <v>1975.1</v>
      </c>
      <c r="R387">
        <v>1115.3499999999999</v>
      </c>
      <c r="S387">
        <v>859.75</v>
      </c>
      <c r="T387" t="s">
        <v>41</v>
      </c>
      <c r="U387" t="s">
        <v>42</v>
      </c>
      <c r="V387" s="3">
        <f t="shared" si="54"/>
        <v>0.1</v>
      </c>
      <c r="W387">
        <f t="shared" si="55"/>
        <v>1975.104</v>
      </c>
      <c r="X387">
        <f t="shared" si="56"/>
        <v>859.75400000000013</v>
      </c>
      <c r="Y387" s="4">
        <f t="shared" si="57"/>
        <v>0.4352955591199249</v>
      </c>
      <c r="Z387">
        <f t="shared" si="58"/>
        <v>6</v>
      </c>
      <c r="AA387">
        <f t="shared" si="59"/>
        <v>6</v>
      </c>
      <c r="AB387">
        <f t="shared" si="60"/>
        <v>2025</v>
      </c>
      <c r="AC387" t="str">
        <f t="shared" si="61"/>
        <v>Unique</v>
      </c>
      <c r="AD387" t="str">
        <f t="shared" si="62"/>
        <v>Clean</v>
      </c>
    </row>
    <row r="388" spans="1:30" x14ac:dyDescent="0.3">
      <c r="A388" t="s">
        <v>1270</v>
      </c>
      <c r="B388" s="2">
        <v>45700</v>
      </c>
      <c r="C388" s="2">
        <v>45702</v>
      </c>
      <c r="D388" t="s">
        <v>1271</v>
      </c>
      <c r="E388" t="s">
        <v>141</v>
      </c>
      <c r="F388" t="s">
        <v>33</v>
      </c>
      <c r="G388" t="s">
        <v>72</v>
      </c>
      <c r="H388" t="s">
        <v>73</v>
      </c>
      <c r="I388" t="s">
        <v>74</v>
      </c>
      <c r="J388" t="s">
        <v>50</v>
      </c>
      <c r="K388" t="s">
        <v>66</v>
      </c>
      <c r="L388" t="s">
        <v>1272</v>
      </c>
      <c r="M388" t="s">
        <v>40</v>
      </c>
      <c r="N388">
        <v>8</v>
      </c>
      <c r="O388">
        <v>2786.66</v>
      </c>
      <c r="P388" s="3">
        <v>0.1</v>
      </c>
      <c r="Q388">
        <v>20063.95</v>
      </c>
      <c r="R388">
        <v>14363.38</v>
      </c>
      <c r="S388">
        <v>5700.57</v>
      </c>
      <c r="T388" t="s">
        <v>41</v>
      </c>
      <c r="U388" t="s">
        <v>42</v>
      </c>
      <c r="V388" s="3">
        <f t="shared" si="54"/>
        <v>0.1</v>
      </c>
      <c r="W388">
        <f t="shared" si="55"/>
        <v>20063.952000000001</v>
      </c>
      <c r="X388">
        <f t="shared" si="56"/>
        <v>5700.5720000000019</v>
      </c>
      <c r="Y388" s="4">
        <f t="shared" si="57"/>
        <v>0.2841200975759911</v>
      </c>
      <c r="Z388">
        <f t="shared" si="58"/>
        <v>2</v>
      </c>
      <c r="AA388">
        <f t="shared" si="59"/>
        <v>2</v>
      </c>
      <c r="AB388">
        <f t="shared" si="60"/>
        <v>2025</v>
      </c>
      <c r="AC388" t="str">
        <f t="shared" si="61"/>
        <v>Unique</v>
      </c>
      <c r="AD388" t="str">
        <f t="shared" si="62"/>
        <v>Clean</v>
      </c>
    </row>
    <row r="389" spans="1:30" x14ac:dyDescent="0.3">
      <c r="A389" t="s">
        <v>1273</v>
      </c>
      <c r="B389" s="2">
        <v>45879</v>
      </c>
      <c r="C389" s="2">
        <v>45882</v>
      </c>
      <c r="D389" t="s">
        <v>1274</v>
      </c>
      <c r="E389" t="s">
        <v>123</v>
      </c>
      <c r="F389" t="s">
        <v>46</v>
      </c>
      <c r="G389" t="s">
        <v>72</v>
      </c>
      <c r="H389" t="s">
        <v>81</v>
      </c>
      <c r="I389" t="s">
        <v>82</v>
      </c>
      <c r="J389" t="s">
        <v>50</v>
      </c>
      <c r="K389" t="s">
        <v>75</v>
      </c>
      <c r="L389" t="s">
        <v>1275</v>
      </c>
      <c r="M389" t="s">
        <v>68</v>
      </c>
      <c r="N389">
        <v>5</v>
      </c>
      <c r="O389">
        <v>352.86</v>
      </c>
      <c r="P389" s="3">
        <v>0</v>
      </c>
      <c r="Q389">
        <v>1764.3</v>
      </c>
      <c r="R389">
        <v>1332.49</v>
      </c>
      <c r="S389">
        <v>431.81</v>
      </c>
      <c r="T389" t="s">
        <v>120</v>
      </c>
      <c r="U389" t="s">
        <v>77</v>
      </c>
      <c r="V389" s="3">
        <f t="shared" si="54"/>
        <v>0</v>
      </c>
      <c r="W389">
        <f t="shared" si="55"/>
        <v>1764.3000000000002</v>
      </c>
      <c r="X389">
        <f t="shared" si="56"/>
        <v>431.81000000000017</v>
      </c>
      <c r="Y389" s="4">
        <f t="shared" si="57"/>
        <v>0.24474862551720236</v>
      </c>
      <c r="Z389">
        <f t="shared" si="58"/>
        <v>3</v>
      </c>
      <c r="AA389">
        <f t="shared" si="59"/>
        <v>8</v>
      </c>
      <c r="AB389">
        <f t="shared" si="60"/>
        <v>2025</v>
      </c>
      <c r="AC389" t="str">
        <f t="shared" si="61"/>
        <v>Unique</v>
      </c>
      <c r="AD389" t="str">
        <f t="shared" si="62"/>
        <v>Warning</v>
      </c>
    </row>
    <row r="390" spans="1:30" x14ac:dyDescent="0.3">
      <c r="A390" t="s">
        <v>1276</v>
      </c>
      <c r="B390" s="2">
        <v>45425</v>
      </c>
      <c r="C390" s="2">
        <v>45430</v>
      </c>
      <c r="D390" t="s">
        <v>1277</v>
      </c>
      <c r="E390" t="s">
        <v>56</v>
      </c>
      <c r="F390" t="s">
        <v>46</v>
      </c>
      <c r="G390" t="s">
        <v>72</v>
      </c>
      <c r="H390" t="s">
        <v>189</v>
      </c>
      <c r="I390" t="s">
        <v>190</v>
      </c>
      <c r="J390" t="s">
        <v>50</v>
      </c>
      <c r="K390" t="s">
        <v>75</v>
      </c>
      <c r="L390" t="s">
        <v>1278</v>
      </c>
      <c r="M390" t="s">
        <v>68</v>
      </c>
      <c r="N390">
        <v>3</v>
      </c>
      <c r="O390">
        <v>3128.59</v>
      </c>
      <c r="P390" s="3">
        <v>0</v>
      </c>
      <c r="Q390">
        <v>9385.77</v>
      </c>
      <c r="R390">
        <v>6872.44</v>
      </c>
      <c r="S390">
        <v>2783.66</v>
      </c>
      <c r="T390" t="s">
        <v>41</v>
      </c>
      <c r="U390" t="s">
        <v>42</v>
      </c>
      <c r="V390" s="3">
        <f t="shared" si="54"/>
        <v>0</v>
      </c>
      <c r="W390">
        <f t="shared" si="55"/>
        <v>9385.77</v>
      </c>
      <c r="X390">
        <f t="shared" si="56"/>
        <v>2513.3300000000008</v>
      </c>
      <c r="Y390" s="4">
        <f t="shared" si="57"/>
        <v>0.26778090662779941</v>
      </c>
      <c r="Z390">
        <f t="shared" si="58"/>
        <v>5</v>
      </c>
      <c r="AA390">
        <f t="shared" si="59"/>
        <v>5</v>
      </c>
      <c r="AB390">
        <f t="shared" si="60"/>
        <v>2024</v>
      </c>
      <c r="AC390" t="str">
        <f t="shared" si="61"/>
        <v>Unique</v>
      </c>
      <c r="AD390" t="str">
        <f t="shared" si="62"/>
        <v>Clean</v>
      </c>
    </row>
    <row r="391" spans="1:30" x14ac:dyDescent="0.3">
      <c r="A391" t="s">
        <v>1279</v>
      </c>
      <c r="B391" s="2">
        <v>45387</v>
      </c>
      <c r="C391" s="2">
        <v>45395</v>
      </c>
      <c r="D391" t="s">
        <v>1280</v>
      </c>
      <c r="E391" t="s">
        <v>171</v>
      </c>
      <c r="F391" t="s">
        <v>99</v>
      </c>
      <c r="G391" t="s">
        <v>72</v>
      </c>
      <c r="H391" t="s">
        <v>189</v>
      </c>
      <c r="I391" t="s">
        <v>190</v>
      </c>
      <c r="J391" t="s">
        <v>83</v>
      </c>
      <c r="K391" t="s">
        <v>284</v>
      </c>
      <c r="L391" t="s">
        <v>1281</v>
      </c>
      <c r="M391" t="s">
        <v>40</v>
      </c>
      <c r="N391">
        <v>5</v>
      </c>
      <c r="O391">
        <v>1937.54</v>
      </c>
      <c r="P391" s="3">
        <v>0.2</v>
      </c>
      <c r="Q391">
        <v>7750.16</v>
      </c>
      <c r="R391">
        <v>5434.3</v>
      </c>
      <c r="S391">
        <v>2315.86</v>
      </c>
      <c r="T391" t="s">
        <v>120</v>
      </c>
      <c r="U391" t="s">
        <v>77</v>
      </c>
      <c r="V391" s="3">
        <f t="shared" si="54"/>
        <v>0.2</v>
      </c>
      <c r="W391">
        <f t="shared" si="55"/>
        <v>7750.1600000000008</v>
      </c>
      <c r="X391">
        <f t="shared" si="56"/>
        <v>2315.8600000000006</v>
      </c>
      <c r="Y391" s="4">
        <f t="shared" si="57"/>
        <v>0.29881447608823564</v>
      </c>
      <c r="Z391">
        <f t="shared" si="58"/>
        <v>8</v>
      </c>
      <c r="AA391">
        <f t="shared" si="59"/>
        <v>4</v>
      </c>
      <c r="AB391">
        <f t="shared" si="60"/>
        <v>2024</v>
      </c>
      <c r="AC391" t="str">
        <f t="shared" si="61"/>
        <v>Unique</v>
      </c>
      <c r="AD391" t="str">
        <f t="shared" si="62"/>
        <v>Warning</v>
      </c>
    </row>
    <row r="392" spans="1:30" x14ac:dyDescent="0.3">
      <c r="A392" t="s">
        <v>1282</v>
      </c>
      <c r="B392" s="2">
        <v>45602</v>
      </c>
      <c r="C392" s="2">
        <v>45607</v>
      </c>
      <c r="D392" t="s">
        <v>1283</v>
      </c>
      <c r="E392" t="s">
        <v>56</v>
      </c>
      <c r="F392" t="s">
        <v>33</v>
      </c>
      <c r="G392" t="s">
        <v>72</v>
      </c>
      <c r="H392" t="s">
        <v>189</v>
      </c>
      <c r="I392" t="s">
        <v>190</v>
      </c>
      <c r="J392" t="s">
        <v>50</v>
      </c>
      <c r="K392" t="s">
        <v>66</v>
      </c>
      <c r="L392" t="s">
        <v>1284</v>
      </c>
      <c r="M392" t="s">
        <v>68</v>
      </c>
      <c r="N392">
        <v>4</v>
      </c>
      <c r="O392">
        <v>1917.26</v>
      </c>
      <c r="P392" s="3">
        <v>0.2</v>
      </c>
      <c r="Q392">
        <v>6135.23</v>
      </c>
      <c r="R392">
        <v>3439.79</v>
      </c>
      <c r="S392">
        <v>2695.44</v>
      </c>
      <c r="T392" t="s">
        <v>41</v>
      </c>
      <c r="U392" t="s">
        <v>42</v>
      </c>
      <c r="V392" s="3">
        <f t="shared" si="54"/>
        <v>0.2</v>
      </c>
      <c r="W392">
        <f t="shared" si="55"/>
        <v>6135.232</v>
      </c>
      <c r="X392">
        <f t="shared" si="56"/>
        <v>2695.442</v>
      </c>
      <c r="Y392" s="4">
        <f t="shared" si="57"/>
        <v>0.43933823529411764</v>
      </c>
      <c r="Z392">
        <f t="shared" si="58"/>
        <v>5</v>
      </c>
      <c r="AA392">
        <f t="shared" si="59"/>
        <v>11</v>
      </c>
      <c r="AB392">
        <f t="shared" si="60"/>
        <v>2024</v>
      </c>
      <c r="AC392" t="str">
        <f t="shared" si="61"/>
        <v>Unique</v>
      </c>
      <c r="AD392" t="str">
        <f t="shared" si="62"/>
        <v>Clean</v>
      </c>
    </row>
    <row r="393" spans="1:30" x14ac:dyDescent="0.3">
      <c r="A393" t="s">
        <v>1285</v>
      </c>
      <c r="B393" s="2">
        <v>45702</v>
      </c>
      <c r="C393" s="2">
        <v>45702</v>
      </c>
      <c r="D393" t="s">
        <v>1286</v>
      </c>
      <c r="E393" t="s">
        <v>171</v>
      </c>
      <c r="F393" t="s">
        <v>33</v>
      </c>
      <c r="G393" t="s">
        <v>63</v>
      </c>
      <c r="H393" t="s">
        <v>184</v>
      </c>
      <c r="I393" t="s">
        <v>185</v>
      </c>
      <c r="J393" t="s">
        <v>37</v>
      </c>
      <c r="K393" t="s">
        <v>133</v>
      </c>
      <c r="L393" t="s">
        <v>1287</v>
      </c>
      <c r="M393" t="s">
        <v>59</v>
      </c>
      <c r="N393">
        <v>1</v>
      </c>
      <c r="O393">
        <v>714.43</v>
      </c>
      <c r="P393" s="3">
        <v>0</v>
      </c>
      <c r="Q393">
        <v>714.43</v>
      </c>
      <c r="R393">
        <v>565.44000000000005</v>
      </c>
      <c r="S393">
        <v>148.99</v>
      </c>
      <c r="T393" t="s">
        <v>41</v>
      </c>
      <c r="U393" t="s">
        <v>42</v>
      </c>
      <c r="V393" s="3">
        <f t="shared" si="54"/>
        <v>0</v>
      </c>
      <c r="W393">
        <f t="shared" si="55"/>
        <v>714.43</v>
      </c>
      <c r="X393">
        <f t="shared" si="56"/>
        <v>148.9899999999999</v>
      </c>
      <c r="Y393" s="4">
        <f t="shared" si="57"/>
        <v>0.20854387413742412</v>
      </c>
      <c r="Z393">
        <f t="shared" si="58"/>
        <v>0</v>
      </c>
      <c r="AA393">
        <f t="shared" si="59"/>
        <v>2</v>
      </c>
      <c r="AB393">
        <f t="shared" si="60"/>
        <v>2025</v>
      </c>
      <c r="AC393" t="str">
        <f t="shared" si="61"/>
        <v>Unique</v>
      </c>
      <c r="AD393" t="str">
        <f t="shared" si="62"/>
        <v>Clean</v>
      </c>
    </row>
    <row r="394" spans="1:30" x14ac:dyDescent="0.3">
      <c r="A394" t="s">
        <v>1288</v>
      </c>
      <c r="B394" s="2">
        <v>45341</v>
      </c>
      <c r="C394" s="2">
        <v>45344</v>
      </c>
      <c r="D394" t="s">
        <v>1289</v>
      </c>
      <c r="E394" t="s">
        <v>98</v>
      </c>
      <c r="F394" t="s">
        <v>46</v>
      </c>
      <c r="G394" t="s">
        <v>63</v>
      </c>
      <c r="H394" t="s">
        <v>194</v>
      </c>
      <c r="I394" t="s">
        <v>195</v>
      </c>
      <c r="J394" t="s">
        <v>50</v>
      </c>
      <c r="K394" t="s">
        <v>66</v>
      </c>
      <c r="L394" t="s">
        <v>1290</v>
      </c>
      <c r="M394" t="s">
        <v>53</v>
      </c>
      <c r="N394">
        <v>9</v>
      </c>
      <c r="O394">
        <v>4053.01</v>
      </c>
      <c r="P394" s="3">
        <v>0</v>
      </c>
      <c r="Q394">
        <v>36477.089999999997</v>
      </c>
      <c r="R394">
        <v>24525.48</v>
      </c>
      <c r="S394">
        <v>11951.61</v>
      </c>
      <c r="T394" t="s">
        <v>41</v>
      </c>
      <c r="U394" t="s">
        <v>42</v>
      </c>
      <c r="V394" s="3">
        <f t="shared" si="54"/>
        <v>0</v>
      </c>
      <c r="W394">
        <f t="shared" si="55"/>
        <v>36477.090000000004</v>
      </c>
      <c r="X394">
        <f t="shared" si="56"/>
        <v>11951.610000000004</v>
      </c>
      <c r="Y394" s="4">
        <f t="shared" si="57"/>
        <v>0.32764702447481425</v>
      </c>
      <c r="Z394">
        <f t="shared" si="58"/>
        <v>3</v>
      </c>
      <c r="AA394">
        <f t="shared" si="59"/>
        <v>2</v>
      </c>
      <c r="AB394">
        <f t="shared" si="60"/>
        <v>2024</v>
      </c>
      <c r="AC394" t="str">
        <f t="shared" si="61"/>
        <v>Unique</v>
      </c>
      <c r="AD394" t="str">
        <f t="shared" si="62"/>
        <v>Clean</v>
      </c>
    </row>
    <row r="395" spans="1:30" x14ac:dyDescent="0.3">
      <c r="A395" t="s">
        <v>1291</v>
      </c>
      <c r="B395" s="2">
        <v>45527</v>
      </c>
      <c r="C395" s="2">
        <v>45533</v>
      </c>
      <c r="D395" t="s">
        <v>1292</v>
      </c>
      <c r="E395" t="s">
        <v>45</v>
      </c>
      <c r="F395" t="s">
        <v>99</v>
      </c>
      <c r="G395" t="s">
        <v>34</v>
      </c>
      <c r="H395" t="s">
        <v>145</v>
      </c>
      <c r="I395" t="s">
        <v>146</v>
      </c>
      <c r="J395" t="s">
        <v>37</v>
      </c>
      <c r="K395" t="s">
        <v>100</v>
      </c>
      <c r="L395" t="s">
        <v>1293</v>
      </c>
      <c r="M395" t="s">
        <v>53</v>
      </c>
      <c r="N395">
        <v>2</v>
      </c>
      <c r="O395">
        <v>1936.91</v>
      </c>
      <c r="P395" s="3">
        <v>0.05</v>
      </c>
      <c r="Q395">
        <v>3680.13</v>
      </c>
      <c r="R395">
        <v>2967.46</v>
      </c>
      <c r="S395">
        <v>712.67</v>
      </c>
      <c r="T395" t="s">
        <v>41</v>
      </c>
      <c r="U395" t="s">
        <v>42</v>
      </c>
      <c r="V395" s="3">
        <f t="shared" si="54"/>
        <v>0.05</v>
      </c>
      <c r="W395">
        <f t="shared" si="55"/>
        <v>3680.1289999999999</v>
      </c>
      <c r="X395">
        <f t="shared" si="56"/>
        <v>712.66899999999987</v>
      </c>
      <c r="Y395" s="4">
        <f t="shared" si="57"/>
        <v>0.19365326595888346</v>
      </c>
      <c r="Z395">
        <f t="shared" si="58"/>
        <v>6</v>
      </c>
      <c r="AA395">
        <f t="shared" si="59"/>
        <v>8</v>
      </c>
      <c r="AB395">
        <f t="shared" si="60"/>
        <v>2024</v>
      </c>
      <c r="AC395" t="str">
        <f t="shared" si="61"/>
        <v>Unique</v>
      </c>
      <c r="AD395" t="str">
        <f t="shared" si="62"/>
        <v>Clean</v>
      </c>
    </row>
    <row r="396" spans="1:30" x14ac:dyDescent="0.3">
      <c r="A396" t="s">
        <v>1294</v>
      </c>
      <c r="B396" s="2">
        <v>45385</v>
      </c>
      <c r="C396" s="2">
        <v>45386</v>
      </c>
      <c r="D396" t="s">
        <v>1295</v>
      </c>
      <c r="E396" t="s">
        <v>274</v>
      </c>
      <c r="F396" t="s">
        <v>33</v>
      </c>
      <c r="G396" t="s">
        <v>72</v>
      </c>
      <c r="H396" t="s">
        <v>73</v>
      </c>
      <c r="I396" t="s">
        <v>74</v>
      </c>
      <c r="J396" t="s">
        <v>50</v>
      </c>
      <c r="K396" t="s">
        <v>66</v>
      </c>
      <c r="L396" t="s">
        <v>1296</v>
      </c>
      <c r="M396" t="s">
        <v>59</v>
      </c>
      <c r="N396">
        <v>7</v>
      </c>
      <c r="O396">
        <v>3945.21</v>
      </c>
      <c r="P396" s="3">
        <v>0</v>
      </c>
      <c r="Q396">
        <v>27616.47</v>
      </c>
      <c r="R396">
        <v>21225.26</v>
      </c>
      <c r="S396">
        <v>6391.21</v>
      </c>
      <c r="T396" t="s">
        <v>41</v>
      </c>
      <c r="U396" t="s">
        <v>42</v>
      </c>
      <c r="V396" s="3">
        <f t="shared" si="54"/>
        <v>0</v>
      </c>
      <c r="W396">
        <f t="shared" si="55"/>
        <v>27616.47</v>
      </c>
      <c r="X396">
        <f t="shared" si="56"/>
        <v>6391.2100000000028</v>
      </c>
      <c r="Y396" s="4">
        <f t="shared" si="57"/>
        <v>0.23142747787823725</v>
      </c>
      <c r="Z396">
        <f t="shared" si="58"/>
        <v>1</v>
      </c>
      <c r="AA396">
        <f t="shared" si="59"/>
        <v>4</v>
      </c>
      <c r="AB396">
        <f t="shared" si="60"/>
        <v>2024</v>
      </c>
      <c r="AC396" t="str">
        <f t="shared" si="61"/>
        <v>Unique</v>
      </c>
      <c r="AD396" t="str">
        <f t="shared" si="62"/>
        <v>Clean</v>
      </c>
    </row>
    <row r="397" spans="1:30" x14ac:dyDescent="0.3">
      <c r="A397" t="s">
        <v>1297</v>
      </c>
      <c r="B397" s="2">
        <v>45449</v>
      </c>
      <c r="C397" s="2">
        <v>45450</v>
      </c>
      <c r="D397" t="s">
        <v>1298</v>
      </c>
      <c r="E397" t="s">
        <v>127</v>
      </c>
      <c r="F397" t="s">
        <v>104</v>
      </c>
      <c r="G397" t="s">
        <v>63</v>
      </c>
      <c r="H397" t="s">
        <v>257</v>
      </c>
      <c r="I397" t="s">
        <v>258</v>
      </c>
      <c r="J397" t="s">
        <v>50</v>
      </c>
      <c r="K397" t="s">
        <v>51</v>
      </c>
      <c r="L397" t="s">
        <v>1299</v>
      </c>
      <c r="M397" t="s">
        <v>53</v>
      </c>
      <c r="N397">
        <v>7</v>
      </c>
      <c r="O397">
        <v>861.91</v>
      </c>
      <c r="P397" s="3">
        <v>0.05</v>
      </c>
      <c r="Q397">
        <v>5731.7</v>
      </c>
      <c r="R397">
        <v>4115.5600000000004</v>
      </c>
      <c r="S397">
        <v>1616.14</v>
      </c>
      <c r="T397" t="s">
        <v>41</v>
      </c>
      <c r="U397" t="s">
        <v>42</v>
      </c>
      <c r="V397" s="3">
        <f t="shared" si="54"/>
        <v>0.05</v>
      </c>
      <c r="W397">
        <f t="shared" si="55"/>
        <v>5731.7014999999992</v>
      </c>
      <c r="X397">
        <f t="shared" si="56"/>
        <v>1616.1414999999988</v>
      </c>
      <c r="Y397" s="4">
        <f t="shared" si="57"/>
        <v>0.28196539893084088</v>
      </c>
      <c r="Z397">
        <f t="shared" si="58"/>
        <v>1</v>
      </c>
      <c r="AA397">
        <f t="shared" si="59"/>
        <v>6</v>
      </c>
      <c r="AB397">
        <f t="shared" si="60"/>
        <v>2024</v>
      </c>
      <c r="AC397" t="str">
        <f t="shared" si="61"/>
        <v>Unique</v>
      </c>
      <c r="AD397" t="str">
        <f t="shared" si="62"/>
        <v>Clean</v>
      </c>
    </row>
    <row r="398" spans="1:30" x14ac:dyDescent="0.3">
      <c r="A398" t="s">
        <v>1300</v>
      </c>
      <c r="B398" s="2">
        <v>45761</v>
      </c>
      <c r="C398" s="2">
        <v>45769</v>
      </c>
      <c r="D398" t="s">
        <v>1301</v>
      </c>
      <c r="E398" t="s">
        <v>98</v>
      </c>
      <c r="F398" t="s">
        <v>46</v>
      </c>
      <c r="G398" t="s">
        <v>63</v>
      </c>
      <c r="H398" t="s">
        <v>184</v>
      </c>
      <c r="I398" t="s">
        <v>185</v>
      </c>
      <c r="J398" t="s">
        <v>83</v>
      </c>
      <c r="K398" t="s">
        <v>284</v>
      </c>
      <c r="L398" t="s">
        <v>1302</v>
      </c>
      <c r="M398" t="s">
        <v>68</v>
      </c>
      <c r="N398">
        <v>2</v>
      </c>
      <c r="O398">
        <v>638.73</v>
      </c>
      <c r="P398" s="3">
        <v>0.05</v>
      </c>
      <c r="Q398">
        <v>1213.5899999999999</v>
      </c>
      <c r="R398">
        <v>956.22</v>
      </c>
      <c r="S398">
        <v>257.37</v>
      </c>
      <c r="T398" t="s">
        <v>41</v>
      </c>
      <c r="U398" t="s">
        <v>42</v>
      </c>
      <c r="V398" s="3">
        <f t="shared" si="54"/>
        <v>0.05</v>
      </c>
      <c r="W398">
        <f t="shared" si="55"/>
        <v>1213.587</v>
      </c>
      <c r="X398">
        <f t="shared" si="56"/>
        <v>257.36699999999996</v>
      </c>
      <c r="Y398" s="4">
        <f t="shared" si="57"/>
        <v>0.21207132245154239</v>
      </c>
      <c r="Z398">
        <f t="shared" si="58"/>
        <v>8</v>
      </c>
      <c r="AA398">
        <f t="shared" si="59"/>
        <v>4</v>
      </c>
      <c r="AB398">
        <f t="shared" si="60"/>
        <v>2025</v>
      </c>
      <c r="AC398" t="str">
        <f t="shared" si="61"/>
        <v>Unique</v>
      </c>
      <c r="AD398" t="str">
        <f t="shared" si="62"/>
        <v>Clean</v>
      </c>
    </row>
    <row r="399" spans="1:30" x14ac:dyDescent="0.3">
      <c r="A399" t="s">
        <v>1303</v>
      </c>
      <c r="B399" s="2">
        <v>45817</v>
      </c>
      <c r="C399" s="2">
        <v>45818</v>
      </c>
      <c r="D399" t="s">
        <v>1304</v>
      </c>
      <c r="E399" t="s">
        <v>141</v>
      </c>
      <c r="F399" t="s">
        <v>46</v>
      </c>
      <c r="G399" t="s">
        <v>34</v>
      </c>
      <c r="H399" t="s">
        <v>145</v>
      </c>
      <c r="I399" t="s">
        <v>146</v>
      </c>
      <c r="J399" t="s">
        <v>50</v>
      </c>
      <c r="K399" t="s">
        <v>51</v>
      </c>
      <c r="L399" t="s">
        <v>1305</v>
      </c>
      <c r="M399" t="s">
        <v>40</v>
      </c>
      <c r="N399">
        <v>2</v>
      </c>
      <c r="O399">
        <v>1731.88</v>
      </c>
      <c r="P399" s="3">
        <v>0</v>
      </c>
      <c r="Q399">
        <v>3463.76</v>
      </c>
      <c r="R399">
        <v>2143.7399999999998</v>
      </c>
      <c r="S399">
        <v>1320.02</v>
      </c>
      <c r="T399" t="s">
        <v>41</v>
      </c>
      <c r="U399" t="s">
        <v>42</v>
      </c>
      <c r="V399" s="3">
        <f t="shared" si="54"/>
        <v>0</v>
      </c>
      <c r="W399">
        <f t="shared" si="55"/>
        <v>3463.76</v>
      </c>
      <c r="X399">
        <f t="shared" si="56"/>
        <v>1320.0200000000004</v>
      </c>
      <c r="Y399" s="4">
        <f t="shared" si="57"/>
        <v>0.38109453310852959</v>
      </c>
      <c r="Z399">
        <f t="shared" si="58"/>
        <v>1</v>
      </c>
      <c r="AA399">
        <f t="shared" si="59"/>
        <v>6</v>
      </c>
      <c r="AB399">
        <f t="shared" si="60"/>
        <v>2025</v>
      </c>
      <c r="AC399" t="str">
        <f t="shared" si="61"/>
        <v>Unique</v>
      </c>
      <c r="AD399" t="str">
        <f t="shared" si="62"/>
        <v>Clean</v>
      </c>
    </row>
    <row r="400" spans="1:30" x14ac:dyDescent="0.3">
      <c r="A400" t="s">
        <v>1306</v>
      </c>
      <c r="B400" s="2">
        <v>45492</v>
      </c>
      <c r="C400" s="2">
        <v>45499</v>
      </c>
      <c r="D400" t="s">
        <v>1307</v>
      </c>
      <c r="E400" t="s">
        <v>80</v>
      </c>
      <c r="F400" t="s">
        <v>99</v>
      </c>
      <c r="G400" t="s">
        <v>34</v>
      </c>
      <c r="H400" t="s">
        <v>131</v>
      </c>
      <c r="I400" t="s">
        <v>132</v>
      </c>
      <c r="J400" t="s">
        <v>83</v>
      </c>
      <c r="K400" t="s">
        <v>284</v>
      </c>
      <c r="L400" t="s">
        <v>1308</v>
      </c>
      <c r="M400" t="s">
        <v>53</v>
      </c>
      <c r="N400">
        <v>2</v>
      </c>
      <c r="O400">
        <v>1263.6500000000001</v>
      </c>
      <c r="P400" s="3">
        <v>0.2</v>
      </c>
      <c r="Q400">
        <v>2021.84</v>
      </c>
      <c r="R400">
        <v>1355.22</v>
      </c>
      <c r="S400">
        <v>666.62</v>
      </c>
      <c r="T400" t="s">
        <v>41</v>
      </c>
      <c r="U400" t="s">
        <v>42</v>
      </c>
      <c r="V400" s="3">
        <f t="shared" si="54"/>
        <v>0.2</v>
      </c>
      <c r="W400">
        <f t="shared" si="55"/>
        <v>2021.8400000000001</v>
      </c>
      <c r="X400">
        <f t="shared" si="56"/>
        <v>666.62000000000012</v>
      </c>
      <c r="Y400" s="4">
        <f t="shared" si="57"/>
        <v>0.32970957147944452</v>
      </c>
      <c r="Z400">
        <f t="shared" si="58"/>
        <v>7</v>
      </c>
      <c r="AA400">
        <f t="shared" si="59"/>
        <v>7</v>
      </c>
      <c r="AB400">
        <f t="shared" si="60"/>
        <v>2024</v>
      </c>
      <c r="AC400" t="str">
        <f t="shared" si="61"/>
        <v>Unique</v>
      </c>
      <c r="AD400" t="str">
        <f t="shared" si="62"/>
        <v>Clean</v>
      </c>
    </row>
    <row r="401" spans="1:30" x14ac:dyDescent="0.3">
      <c r="A401" t="s">
        <v>1309</v>
      </c>
      <c r="B401" s="2">
        <v>45771</v>
      </c>
      <c r="C401" s="2">
        <v>45776</v>
      </c>
      <c r="D401" t="s">
        <v>1310</v>
      </c>
      <c r="E401" t="s">
        <v>171</v>
      </c>
      <c r="F401" t="s">
        <v>46</v>
      </c>
      <c r="G401" t="s">
        <v>63</v>
      </c>
      <c r="H401" t="s">
        <v>93</v>
      </c>
      <c r="I401" t="s">
        <v>94</v>
      </c>
      <c r="J401" t="s">
        <v>37</v>
      </c>
      <c r="K401" t="s">
        <v>38</v>
      </c>
      <c r="L401" t="s">
        <v>1311</v>
      </c>
      <c r="M401" t="s">
        <v>53</v>
      </c>
      <c r="N401">
        <v>1</v>
      </c>
      <c r="O401">
        <v>4358.5</v>
      </c>
      <c r="P401" s="3">
        <v>0.25</v>
      </c>
      <c r="Q401">
        <v>3268.88</v>
      </c>
      <c r="R401">
        <v>1993.74</v>
      </c>
      <c r="S401">
        <v>1275.1400000000001</v>
      </c>
      <c r="T401" t="s">
        <v>41</v>
      </c>
      <c r="U401" t="s">
        <v>42</v>
      </c>
      <c r="V401" s="3">
        <f t="shared" si="54"/>
        <v>0.25</v>
      </c>
      <c r="W401">
        <f t="shared" si="55"/>
        <v>3268.875</v>
      </c>
      <c r="X401">
        <f t="shared" si="56"/>
        <v>1275.135</v>
      </c>
      <c r="Y401" s="4">
        <f t="shared" si="57"/>
        <v>0.39008374440747962</v>
      </c>
      <c r="Z401">
        <f t="shared" si="58"/>
        <v>5</v>
      </c>
      <c r="AA401">
        <f t="shared" si="59"/>
        <v>4</v>
      </c>
      <c r="AB401">
        <f t="shared" si="60"/>
        <v>2025</v>
      </c>
      <c r="AC401" t="str">
        <f t="shared" si="61"/>
        <v>Unique</v>
      </c>
      <c r="AD401" t="str">
        <f t="shared" si="62"/>
        <v>Clean</v>
      </c>
    </row>
    <row r="402" spans="1:30" x14ac:dyDescent="0.3">
      <c r="A402" t="s">
        <v>1312</v>
      </c>
      <c r="B402" s="2">
        <v>45814</v>
      </c>
      <c r="C402" s="2">
        <v>45819</v>
      </c>
      <c r="D402" t="s">
        <v>1313</v>
      </c>
      <c r="E402" t="s">
        <v>141</v>
      </c>
      <c r="F402" t="s">
        <v>46</v>
      </c>
      <c r="G402" t="s">
        <v>34</v>
      </c>
      <c r="H402" t="s">
        <v>145</v>
      </c>
      <c r="I402" t="s">
        <v>146</v>
      </c>
      <c r="J402" t="s">
        <v>37</v>
      </c>
      <c r="K402" t="s">
        <v>38</v>
      </c>
      <c r="L402" t="s">
        <v>1314</v>
      </c>
      <c r="M402" t="s">
        <v>53</v>
      </c>
      <c r="N402">
        <v>7</v>
      </c>
      <c r="O402">
        <v>878.09</v>
      </c>
      <c r="P402" s="3">
        <v>-0.1</v>
      </c>
      <c r="Q402">
        <v>5839.3</v>
      </c>
      <c r="R402">
        <v>4877.38</v>
      </c>
      <c r="S402">
        <v>961.92</v>
      </c>
      <c r="T402" t="s">
        <v>41</v>
      </c>
      <c r="U402" t="s">
        <v>42</v>
      </c>
      <c r="V402" s="3">
        <f t="shared" si="54"/>
        <v>0.1</v>
      </c>
      <c r="W402">
        <f t="shared" si="55"/>
        <v>5531.9670000000006</v>
      </c>
      <c r="X402">
        <f t="shared" si="56"/>
        <v>654.58700000000044</v>
      </c>
      <c r="Y402" s="4">
        <f t="shared" si="57"/>
        <v>0.11832807390210397</v>
      </c>
      <c r="Z402">
        <f t="shared" si="58"/>
        <v>5</v>
      </c>
      <c r="AA402">
        <f t="shared" si="59"/>
        <v>6</v>
      </c>
      <c r="AB402">
        <f t="shared" si="60"/>
        <v>2025</v>
      </c>
      <c r="AC402" t="str">
        <f t="shared" si="61"/>
        <v>Unique</v>
      </c>
      <c r="AD402" t="str">
        <f t="shared" si="62"/>
        <v>Invalid</v>
      </c>
    </row>
    <row r="403" spans="1:30" x14ac:dyDescent="0.3">
      <c r="A403" t="s">
        <v>1315</v>
      </c>
      <c r="B403" s="2">
        <v>45725</v>
      </c>
      <c r="C403" s="2">
        <v>45732</v>
      </c>
      <c r="D403" t="s">
        <v>1316</v>
      </c>
      <c r="E403" t="s">
        <v>62</v>
      </c>
      <c r="F403" t="s">
        <v>46</v>
      </c>
      <c r="G403" t="s">
        <v>47</v>
      </c>
      <c r="H403" t="s">
        <v>238</v>
      </c>
      <c r="I403" t="s">
        <v>239</v>
      </c>
      <c r="J403" t="s">
        <v>50</v>
      </c>
      <c r="K403" t="s">
        <v>51</v>
      </c>
      <c r="L403" t="s">
        <v>1317</v>
      </c>
      <c r="M403" t="s">
        <v>53</v>
      </c>
      <c r="N403">
        <v>3</v>
      </c>
      <c r="O403">
        <v>2625.85</v>
      </c>
      <c r="P403" s="3">
        <v>0</v>
      </c>
      <c r="Q403">
        <v>7877.55</v>
      </c>
      <c r="R403">
        <v>5562.77</v>
      </c>
      <c r="S403">
        <v>2314.7800000000002</v>
      </c>
      <c r="T403" t="s">
        <v>41</v>
      </c>
      <c r="U403" t="s">
        <v>42</v>
      </c>
      <c r="V403" s="3">
        <f t="shared" si="54"/>
        <v>0</v>
      </c>
      <c r="W403">
        <f t="shared" si="55"/>
        <v>7877.5499999999993</v>
      </c>
      <c r="X403">
        <f t="shared" si="56"/>
        <v>2314.7799999999988</v>
      </c>
      <c r="Y403" s="4">
        <f t="shared" si="57"/>
        <v>0.29384516759652418</v>
      </c>
      <c r="Z403">
        <f t="shared" si="58"/>
        <v>7</v>
      </c>
      <c r="AA403">
        <f t="shared" si="59"/>
        <v>3</v>
      </c>
      <c r="AB403">
        <f t="shared" si="60"/>
        <v>2025</v>
      </c>
      <c r="AC403" t="str">
        <f t="shared" si="61"/>
        <v>Unique</v>
      </c>
      <c r="AD403" t="str">
        <f t="shared" si="62"/>
        <v>Clean</v>
      </c>
    </row>
    <row r="404" spans="1:30" x14ac:dyDescent="0.3">
      <c r="A404" t="s">
        <v>1318</v>
      </c>
      <c r="B404" s="2">
        <v>45373</v>
      </c>
      <c r="C404" s="2">
        <v>45373</v>
      </c>
      <c r="D404" t="s">
        <v>1319</v>
      </c>
      <c r="E404" t="s">
        <v>123</v>
      </c>
      <c r="F404" t="s">
        <v>46</v>
      </c>
      <c r="G404" t="s">
        <v>63</v>
      </c>
      <c r="H404" t="s">
        <v>184</v>
      </c>
      <c r="I404" t="s">
        <v>185</v>
      </c>
      <c r="J404" t="s">
        <v>50</v>
      </c>
      <c r="K404" t="s">
        <v>51</v>
      </c>
      <c r="L404" t="s">
        <v>1320</v>
      </c>
      <c r="M404" t="s">
        <v>214</v>
      </c>
      <c r="N404">
        <v>3</v>
      </c>
      <c r="O404">
        <v>1365.26</v>
      </c>
      <c r="P404" s="3">
        <v>0</v>
      </c>
      <c r="Q404">
        <v>4095.78</v>
      </c>
      <c r="R404">
        <v>2807.77</v>
      </c>
      <c r="S404">
        <v>1288.01</v>
      </c>
      <c r="T404" t="s">
        <v>41</v>
      </c>
      <c r="U404" t="s">
        <v>42</v>
      </c>
      <c r="V404" s="3">
        <f t="shared" si="54"/>
        <v>0</v>
      </c>
      <c r="W404">
        <f t="shared" si="55"/>
        <v>4095.7799999999997</v>
      </c>
      <c r="X404">
        <f t="shared" si="56"/>
        <v>1288.0099999999998</v>
      </c>
      <c r="Y404" s="4">
        <f t="shared" si="57"/>
        <v>0.31447245701673426</v>
      </c>
      <c r="Z404">
        <f t="shared" si="58"/>
        <v>0</v>
      </c>
      <c r="AA404">
        <f t="shared" si="59"/>
        <v>3</v>
      </c>
      <c r="AB404">
        <f t="shared" si="60"/>
        <v>2024</v>
      </c>
      <c r="AC404" t="str">
        <f t="shared" si="61"/>
        <v>Unique</v>
      </c>
      <c r="AD404" t="str">
        <f t="shared" si="62"/>
        <v>Warning</v>
      </c>
    </row>
    <row r="405" spans="1:30" x14ac:dyDescent="0.3">
      <c r="A405" t="s">
        <v>1321</v>
      </c>
      <c r="B405" s="2">
        <v>45565</v>
      </c>
      <c r="C405" s="2">
        <v>45569</v>
      </c>
      <c r="D405" t="s">
        <v>1322</v>
      </c>
      <c r="E405" t="s">
        <v>62</v>
      </c>
      <c r="F405" t="s">
        <v>46</v>
      </c>
      <c r="G405" t="s">
        <v>63</v>
      </c>
      <c r="H405" t="s">
        <v>194</v>
      </c>
      <c r="I405" t="s">
        <v>195</v>
      </c>
      <c r="J405" t="s">
        <v>37</v>
      </c>
      <c r="K405" t="s">
        <v>38</v>
      </c>
      <c r="L405" t="s">
        <v>1323</v>
      </c>
      <c r="M405" t="s">
        <v>53</v>
      </c>
      <c r="N405">
        <v>5</v>
      </c>
      <c r="O405">
        <v>3512.25</v>
      </c>
      <c r="P405" s="3">
        <v>0.05</v>
      </c>
      <c r="Q405">
        <v>16683.189999999999</v>
      </c>
      <c r="R405">
        <v>10301.16</v>
      </c>
      <c r="S405">
        <v>6382.03</v>
      </c>
      <c r="T405" t="s">
        <v>41</v>
      </c>
      <c r="U405" t="s">
        <v>112</v>
      </c>
      <c r="V405" s="3">
        <f t="shared" si="54"/>
        <v>0.05</v>
      </c>
      <c r="W405">
        <f t="shared" si="55"/>
        <v>16683.1875</v>
      </c>
      <c r="X405">
        <f t="shared" si="56"/>
        <v>6382.0275000000001</v>
      </c>
      <c r="Y405" s="4">
        <f t="shared" si="57"/>
        <v>0.38254245479168775</v>
      </c>
      <c r="Z405">
        <f t="shared" si="58"/>
        <v>4</v>
      </c>
      <c r="AA405">
        <f t="shared" si="59"/>
        <v>9</v>
      </c>
      <c r="AB405">
        <f t="shared" si="60"/>
        <v>2024</v>
      </c>
      <c r="AC405" t="str">
        <f t="shared" si="61"/>
        <v>Unique</v>
      </c>
      <c r="AD405" t="str">
        <f t="shared" si="62"/>
        <v>Clean</v>
      </c>
    </row>
    <row r="406" spans="1:30" x14ac:dyDescent="0.3">
      <c r="A406" t="s">
        <v>1324</v>
      </c>
      <c r="B406" s="2">
        <v>45318</v>
      </c>
      <c r="C406" s="2">
        <v>45325</v>
      </c>
      <c r="D406" t="s">
        <v>1325</v>
      </c>
      <c r="E406" t="s">
        <v>98</v>
      </c>
      <c r="F406" t="s">
        <v>99</v>
      </c>
      <c r="G406" t="s">
        <v>72</v>
      </c>
      <c r="H406" t="s">
        <v>35</v>
      </c>
      <c r="I406" t="s">
        <v>118</v>
      </c>
      <c r="J406" t="s">
        <v>50</v>
      </c>
      <c r="K406" t="s">
        <v>75</v>
      </c>
      <c r="L406" t="s">
        <v>1326</v>
      </c>
      <c r="M406" t="s">
        <v>53</v>
      </c>
      <c r="N406">
        <v>3</v>
      </c>
      <c r="O406">
        <v>359.61</v>
      </c>
      <c r="P406" s="3">
        <v>0</v>
      </c>
      <c r="Q406">
        <v>1078.83</v>
      </c>
      <c r="R406">
        <v>926.35</v>
      </c>
      <c r="S406">
        <v>152.47999999999999</v>
      </c>
      <c r="T406" t="s">
        <v>41</v>
      </c>
      <c r="U406" t="s">
        <v>42</v>
      </c>
      <c r="V406" s="3">
        <f t="shared" si="54"/>
        <v>0</v>
      </c>
      <c r="W406">
        <f t="shared" si="55"/>
        <v>1078.83</v>
      </c>
      <c r="X406">
        <f t="shared" si="56"/>
        <v>152.4799999999999</v>
      </c>
      <c r="Y406" s="4">
        <f t="shared" si="57"/>
        <v>0.14133830167867034</v>
      </c>
      <c r="Z406">
        <f t="shared" si="58"/>
        <v>7</v>
      </c>
      <c r="AA406">
        <f t="shared" si="59"/>
        <v>1</v>
      </c>
      <c r="AB406">
        <f t="shared" si="60"/>
        <v>2024</v>
      </c>
      <c r="AC406" t="str">
        <f t="shared" si="61"/>
        <v>Unique</v>
      </c>
      <c r="AD406" t="str">
        <f t="shared" si="62"/>
        <v>Clean</v>
      </c>
    </row>
    <row r="407" spans="1:30" x14ac:dyDescent="0.3">
      <c r="A407" t="s">
        <v>1327</v>
      </c>
      <c r="B407" s="2">
        <v>45558</v>
      </c>
      <c r="C407" s="2">
        <v>45559</v>
      </c>
      <c r="D407" t="s">
        <v>1328</v>
      </c>
      <c r="E407" t="s">
        <v>98</v>
      </c>
      <c r="F407" t="s">
        <v>104</v>
      </c>
      <c r="G407" t="s">
        <v>72</v>
      </c>
      <c r="H407" t="s">
        <v>189</v>
      </c>
      <c r="I407" t="s">
        <v>190</v>
      </c>
      <c r="J407" t="s">
        <v>50</v>
      </c>
      <c r="K407" t="s">
        <v>167</v>
      </c>
      <c r="L407" t="s">
        <v>1329</v>
      </c>
      <c r="M407" t="s">
        <v>214</v>
      </c>
      <c r="N407">
        <v>7</v>
      </c>
      <c r="O407">
        <v>3878.01</v>
      </c>
      <c r="P407" s="3">
        <v>0.1</v>
      </c>
      <c r="Q407">
        <v>24431.46</v>
      </c>
      <c r="R407">
        <v>18202.36</v>
      </c>
      <c r="S407">
        <v>6229.1</v>
      </c>
      <c r="T407" t="s">
        <v>41</v>
      </c>
      <c r="U407" t="s">
        <v>42</v>
      </c>
      <c r="V407" s="3">
        <f t="shared" si="54"/>
        <v>0.1</v>
      </c>
      <c r="W407">
        <f t="shared" si="55"/>
        <v>24431.463</v>
      </c>
      <c r="X407">
        <f t="shared" si="56"/>
        <v>6229.1029999999992</v>
      </c>
      <c r="Y407" s="4">
        <f t="shared" si="57"/>
        <v>0.25496234097810677</v>
      </c>
      <c r="Z407">
        <f t="shared" si="58"/>
        <v>1</v>
      </c>
      <c r="AA407">
        <f t="shared" si="59"/>
        <v>9</v>
      </c>
      <c r="AB407">
        <f t="shared" si="60"/>
        <v>2024</v>
      </c>
      <c r="AC407" t="str">
        <f t="shared" si="61"/>
        <v>Unique</v>
      </c>
      <c r="AD407" t="str">
        <f t="shared" si="62"/>
        <v>Warning</v>
      </c>
    </row>
    <row r="408" spans="1:30" x14ac:dyDescent="0.3">
      <c r="A408" t="s">
        <v>1330</v>
      </c>
      <c r="B408" s="2">
        <v>45713</v>
      </c>
      <c r="C408" s="2">
        <v>45713</v>
      </c>
      <c r="D408" t="s">
        <v>1331</v>
      </c>
      <c r="E408" t="s">
        <v>274</v>
      </c>
      <c r="F408" t="s">
        <v>46</v>
      </c>
      <c r="G408" t="s">
        <v>72</v>
      </c>
      <c r="H408" t="s">
        <v>199</v>
      </c>
      <c r="I408" t="s">
        <v>200</v>
      </c>
      <c r="J408" t="s">
        <v>50</v>
      </c>
      <c r="K408" t="s">
        <v>66</v>
      </c>
      <c r="L408" t="s">
        <v>1332</v>
      </c>
      <c r="M408" t="s">
        <v>68</v>
      </c>
      <c r="N408">
        <v>2</v>
      </c>
      <c r="O408">
        <v>3924.2</v>
      </c>
      <c r="P408" s="3">
        <v>0.25</v>
      </c>
      <c r="Q408">
        <v>5886.3</v>
      </c>
      <c r="R408">
        <v>3621.76</v>
      </c>
      <c r="S408">
        <v>2264.54</v>
      </c>
      <c r="T408" t="s">
        <v>120</v>
      </c>
      <c r="U408" t="s">
        <v>112</v>
      </c>
      <c r="V408" s="3">
        <f t="shared" si="54"/>
        <v>0.25</v>
      </c>
      <c r="W408">
        <f t="shared" si="55"/>
        <v>5886.2999999999993</v>
      </c>
      <c r="X408">
        <f t="shared" si="56"/>
        <v>2264.5399999999991</v>
      </c>
      <c r="Y408" s="4">
        <f t="shared" si="57"/>
        <v>0.38471365713606159</v>
      </c>
      <c r="Z408">
        <f t="shared" si="58"/>
        <v>0</v>
      </c>
      <c r="AA408">
        <f t="shared" si="59"/>
        <v>2</v>
      </c>
      <c r="AB408">
        <f t="shared" si="60"/>
        <v>2025</v>
      </c>
      <c r="AC408" t="str">
        <f t="shared" si="61"/>
        <v>Unique</v>
      </c>
      <c r="AD408" t="str">
        <f t="shared" si="62"/>
        <v>Clean</v>
      </c>
    </row>
    <row r="409" spans="1:30" x14ac:dyDescent="0.3">
      <c r="A409" t="s">
        <v>1333</v>
      </c>
      <c r="B409" s="2">
        <v>45424</v>
      </c>
      <c r="C409" s="2">
        <v>45425</v>
      </c>
      <c r="D409" t="s">
        <v>1334</v>
      </c>
      <c r="E409" t="s">
        <v>127</v>
      </c>
      <c r="F409" t="s">
        <v>99</v>
      </c>
      <c r="G409" t="s">
        <v>72</v>
      </c>
      <c r="H409" t="s">
        <v>199</v>
      </c>
      <c r="I409" t="s">
        <v>200</v>
      </c>
      <c r="J409" t="s">
        <v>37</v>
      </c>
      <c r="K409" t="s">
        <v>100</v>
      </c>
      <c r="L409" t="s">
        <v>1335</v>
      </c>
      <c r="M409" t="s">
        <v>40</v>
      </c>
      <c r="N409">
        <v>3</v>
      </c>
      <c r="O409">
        <v>2644.55</v>
      </c>
      <c r="P409" s="3">
        <v>0</v>
      </c>
      <c r="Q409">
        <v>7933.65</v>
      </c>
      <c r="R409">
        <v>5698.42</v>
      </c>
      <c r="S409">
        <v>2235.23</v>
      </c>
      <c r="T409" t="s">
        <v>41</v>
      </c>
      <c r="U409" t="s">
        <v>42</v>
      </c>
      <c r="V409" s="3">
        <f t="shared" si="54"/>
        <v>0</v>
      </c>
      <c r="W409">
        <f t="shared" si="55"/>
        <v>7933.6500000000005</v>
      </c>
      <c r="X409">
        <f t="shared" si="56"/>
        <v>2235.2300000000005</v>
      </c>
      <c r="Y409" s="4">
        <f t="shared" si="57"/>
        <v>0.2817404347305465</v>
      </c>
      <c r="Z409">
        <f t="shared" si="58"/>
        <v>1</v>
      </c>
      <c r="AA409">
        <f t="shared" si="59"/>
        <v>5</v>
      </c>
      <c r="AB409">
        <f t="shared" si="60"/>
        <v>2024</v>
      </c>
      <c r="AC409" t="str">
        <f t="shared" si="61"/>
        <v>Unique</v>
      </c>
      <c r="AD409" t="str">
        <f t="shared" si="62"/>
        <v>Clean</v>
      </c>
    </row>
    <row r="410" spans="1:30" x14ac:dyDescent="0.3">
      <c r="A410" t="s">
        <v>1336</v>
      </c>
      <c r="B410" s="2">
        <v>45870</v>
      </c>
      <c r="C410" s="2">
        <v>45872</v>
      </c>
      <c r="D410" t="s">
        <v>1337</v>
      </c>
      <c r="E410" t="s">
        <v>141</v>
      </c>
      <c r="F410" t="s">
        <v>33</v>
      </c>
      <c r="G410" t="s">
        <v>72</v>
      </c>
      <c r="H410" t="s">
        <v>73</v>
      </c>
      <c r="I410" t="s">
        <v>74</v>
      </c>
      <c r="J410" t="s">
        <v>50</v>
      </c>
      <c r="K410" t="s">
        <v>75</v>
      </c>
      <c r="L410" t="s">
        <v>1338</v>
      </c>
      <c r="M410" t="s">
        <v>59</v>
      </c>
      <c r="N410">
        <v>4</v>
      </c>
      <c r="O410">
        <v>1773.46</v>
      </c>
      <c r="P410" s="3">
        <v>0</v>
      </c>
      <c r="Q410">
        <v>7093.84</v>
      </c>
      <c r="R410">
        <v>4587.49</v>
      </c>
      <c r="S410">
        <v>2506.35</v>
      </c>
      <c r="T410" t="s">
        <v>164</v>
      </c>
      <c r="U410" t="s">
        <v>112</v>
      </c>
      <c r="V410" s="3">
        <f t="shared" si="54"/>
        <v>0</v>
      </c>
      <c r="W410">
        <f t="shared" si="55"/>
        <v>7093.84</v>
      </c>
      <c r="X410">
        <f t="shared" si="56"/>
        <v>2506.3500000000004</v>
      </c>
      <c r="Y410" s="4">
        <f t="shared" si="57"/>
        <v>0.35331357910525191</v>
      </c>
      <c r="Z410">
        <f t="shared" si="58"/>
        <v>2</v>
      </c>
      <c r="AA410">
        <f t="shared" si="59"/>
        <v>8</v>
      </c>
      <c r="AB410">
        <f t="shared" si="60"/>
        <v>2025</v>
      </c>
      <c r="AC410" t="str">
        <f t="shared" si="61"/>
        <v>Unique</v>
      </c>
      <c r="AD410" t="str">
        <f t="shared" si="62"/>
        <v>Warning</v>
      </c>
    </row>
    <row r="411" spans="1:30" x14ac:dyDescent="0.3">
      <c r="A411" t="s">
        <v>1339</v>
      </c>
      <c r="B411" s="2">
        <v>45701</v>
      </c>
      <c r="C411" s="2">
        <v>45703</v>
      </c>
      <c r="D411" t="s">
        <v>1340</v>
      </c>
      <c r="E411" t="s">
        <v>32</v>
      </c>
      <c r="F411" t="s">
        <v>33</v>
      </c>
      <c r="G411" t="s">
        <v>47</v>
      </c>
      <c r="H411" t="s">
        <v>175</v>
      </c>
      <c r="I411" t="s">
        <v>176</v>
      </c>
      <c r="J411" t="s">
        <v>83</v>
      </c>
      <c r="K411" t="s">
        <v>84</v>
      </c>
      <c r="L411" t="s">
        <v>1341</v>
      </c>
      <c r="M411" t="s">
        <v>53</v>
      </c>
      <c r="N411">
        <v>1</v>
      </c>
      <c r="O411">
        <v>3025.46</v>
      </c>
      <c r="P411" s="3">
        <v>0.25</v>
      </c>
      <c r="Q411">
        <v>2269.1</v>
      </c>
      <c r="R411">
        <v>1593.59</v>
      </c>
      <c r="S411">
        <v>675.51</v>
      </c>
      <c r="T411" t="s">
        <v>111</v>
      </c>
      <c r="U411" t="s">
        <v>112</v>
      </c>
      <c r="V411" s="3">
        <f t="shared" si="54"/>
        <v>0.25</v>
      </c>
      <c r="W411">
        <f t="shared" si="55"/>
        <v>2269.0950000000003</v>
      </c>
      <c r="X411">
        <f t="shared" si="56"/>
        <v>675.50500000000034</v>
      </c>
      <c r="Y411" s="4">
        <f t="shared" si="57"/>
        <v>0.29769798091309541</v>
      </c>
      <c r="Z411">
        <f t="shared" si="58"/>
        <v>2</v>
      </c>
      <c r="AA411">
        <f t="shared" si="59"/>
        <v>2</v>
      </c>
      <c r="AB411">
        <f t="shared" si="60"/>
        <v>2025</v>
      </c>
      <c r="AC411" t="str">
        <f t="shared" si="61"/>
        <v>Unique</v>
      </c>
      <c r="AD411" t="str">
        <f t="shared" si="62"/>
        <v>Clean</v>
      </c>
    </row>
    <row r="412" spans="1:30" x14ac:dyDescent="0.3">
      <c r="A412" t="s">
        <v>1342</v>
      </c>
      <c r="B412" s="2">
        <v>45394</v>
      </c>
      <c r="C412" s="2">
        <v>45402</v>
      </c>
      <c r="D412" t="s">
        <v>1343</v>
      </c>
      <c r="E412" t="s">
        <v>171</v>
      </c>
      <c r="F412" t="s">
        <v>33</v>
      </c>
      <c r="G412" t="s">
        <v>72</v>
      </c>
      <c r="H412" t="s">
        <v>199</v>
      </c>
      <c r="I412" t="s">
        <v>200</v>
      </c>
      <c r="J412" t="s">
        <v>50</v>
      </c>
      <c r="K412" t="s">
        <v>51</v>
      </c>
      <c r="L412" t="s">
        <v>1344</v>
      </c>
      <c r="M412" t="s">
        <v>59</v>
      </c>
      <c r="N412">
        <v>9</v>
      </c>
      <c r="O412">
        <v>1302.6099999999999</v>
      </c>
      <c r="P412" s="3">
        <v>0.2</v>
      </c>
      <c r="Q412">
        <v>9378.7900000000009</v>
      </c>
      <c r="R412">
        <v>6774.48</v>
      </c>
      <c r="S412">
        <v>2604.31</v>
      </c>
      <c r="T412" t="s">
        <v>41</v>
      </c>
      <c r="U412" t="s">
        <v>42</v>
      </c>
      <c r="V412" s="3">
        <f t="shared" si="54"/>
        <v>0.2</v>
      </c>
      <c r="W412">
        <f t="shared" si="55"/>
        <v>9378.7919999999995</v>
      </c>
      <c r="X412">
        <f t="shared" si="56"/>
        <v>2604.3119999999999</v>
      </c>
      <c r="Y412" s="4">
        <f t="shared" si="57"/>
        <v>0.27768096360384154</v>
      </c>
      <c r="Z412">
        <f t="shared" si="58"/>
        <v>8</v>
      </c>
      <c r="AA412">
        <f t="shared" si="59"/>
        <v>4</v>
      </c>
      <c r="AB412">
        <f t="shared" si="60"/>
        <v>2024</v>
      </c>
      <c r="AC412" t="str">
        <f t="shared" si="61"/>
        <v>Unique</v>
      </c>
      <c r="AD412" t="str">
        <f t="shared" si="62"/>
        <v>Clean</v>
      </c>
    </row>
    <row r="413" spans="1:30" x14ac:dyDescent="0.3">
      <c r="A413" t="s">
        <v>1345</v>
      </c>
      <c r="B413" s="2">
        <v>45892</v>
      </c>
      <c r="C413" s="2">
        <v>45897</v>
      </c>
      <c r="D413" t="s">
        <v>1346</v>
      </c>
      <c r="E413" t="s">
        <v>62</v>
      </c>
      <c r="F413" t="s">
        <v>104</v>
      </c>
      <c r="G413" t="s">
        <v>72</v>
      </c>
      <c r="H413" t="s">
        <v>35</v>
      </c>
      <c r="I413" t="s">
        <v>118</v>
      </c>
      <c r="J413" t="s">
        <v>50</v>
      </c>
      <c r="K413" t="s">
        <v>51</v>
      </c>
      <c r="L413" t="s">
        <v>1347</v>
      </c>
      <c r="M413" t="s">
        <v>59</v>
      </c>
      <c r="N413">
        <v>1</v>
      </c>
      <c r="O413">
        <v>4167.8100000000004</v>
      </c>
      <c r="P413" s="3">
        <v>0.2</v>
      </c>
      <c r="Q413">
        <v>3334.25</v>
      </c>
      <c r="R413">
        <v>2768.77</v>
      </c>
      <c r="S413">
        <v>565.48</v>
      </c>
      <c r="T413" t="s">
        <v>164</v>
      </c>
      <c r="U413" t="s">
        <v>112</v>
      </c>
      <c r="V413" s="3">
        <f t="shared" si="54"/>
        <v>0.2</v>
      </c>
      <c r="W413">
        <f t="shared" si="55"/>
        <v>3334.2480000000005</v>
      </c>
      <c r="X413">
        <f t="shared" si="56"/>
        <v>565.47800000000052</v>
      </c>
      <c r="Y413" s="4">
        <f t="shared" si="57"/>
        <v>0.16959686262089696</v>
      </c>
      <c r="Z413">
        <f t="shared" si="58"/>
        <v>5</v>
      </c>
      <c r="AA413">
        <f t="shared" si="59"/>
        <v>8</v>
      </c>
      <c r="AB413">
        <f t="shared" si="60"/>
        <v>2025</v>
      </c>
      <c r="AC413" t="str">
        <f t="shared" si="61"/>
        <v>Unique</v>
      </c>
      <c r="AD413" t="str">
        <f t="shared" si="62"/>
        <v>Warning</v>
      </c>
    </row>
    <row r="414" spans="1:30" x14ac:dyDescent="0.3">
      <c r="A414" t="s">
        <v>1348</v>
      </c>
      <c r="B414" s="2">
        <v>45313</v>
      </c>
      <c r="C414" s="2">
        <v>45321</v>
      </c>
      <c r="D414" t="s">
        <v>1349</v>
      </c>
      <c r="E414" t="s">
        <v>56</v>
      </c>
      <c r="F414" t="s">
        <v>99</v>
      </c>
      <c r="G414" t="s">
        <v>63</v>
      </c>
      <c r="H414" t="s">
        <v>184</v>
      </c>
      <c r="I414" t="s">
        <v>185</v>
      </c>
      <c r="J414" t="s">
        <v>50</v>
      </c>
      <c r="K414" t="s">
        <v>75</v>
      </c>
      <c r="L414" t="s">
        <v>1350</v>
      </c>
      <c r="M414" t="s">
        <v>53</v>
      </c>
      <c r="N414">
        <v>1</v>
      </c>
      <c r="O414">
        <v>2111.39</v>
      </c>
      <c r="P414" s="3">
        <v>0.25</v>
      </c>
      <c r="Q414">
        <v>1583.54</v>
      </c>
      <c r="R414">
        <v>1014.19</v>
      </c>
      <c r="S414">
        <v>569.35</v>
      </c>
      <c r="T414" t="s">
        <v>41</v>
      </c>
      <c r="U414" t="s">
        <v>42</v>
      </c>
      <c r="V414" s="3">
        <f t="shared" si="54"/>
        <v>0.25</v>
      </c>
      <c r="W414">
        <f t="shared" si="55"/>
        <v>1583.5425</v>
      </c>
      <c r="X414">
        <f t="shared" si="56"/>
        <v>569.35249999999996</v>
      </c>
      <c r="Y414" s="4">
        <f t="shared" si="57"/>
        <v>0.35954355503562424</v>
      </c>
      <c r="Z414">
        <f t="shared" si="58"/>
        <v>8</v>
      </c>
      <c r="AA414">
        <f t="shared" si="59"/>
        <v>1</v>
      </c>
      <c r="AB414">
        <f t="shared" si="60"/>
        <v>2024</v>
      </c>
      <c r="AC414" t="str">
        <f t="shared" si="61"/>
        <v>Unique</v>
      </c>
      <c r="AD414" t="str">
        <f t="shared" si="62"/>
        <v>Clean</v>
      </c>
    </row>
    <row r="415" spans="1:30" x14ac:dyDescent="0.3">
      <c r="A415" t="s">
        <v>1351</v>
      </c>
      <c r="B415" s="2">
        <v>45882</v>
      </c>
      <c r="C415" s="2">
        <v>45886</v>
      </c>
      <c r="D415" t="s">
        <v>1352</v>
      </c>
      <c r="E415" t="s">
        <v>88</v>
      </c>
      <c r="F415" t="s">
        <v>104</v>
      </c>
      <c r="G415" t="s">
        <v>72</v>
      </c>
      <c r="H415" t="s">
        <v>81</v>
      </c>
      <c r="I415" t="s">
        <v>82</v>
      </c>
      <c r="J415" t="s">
        <v>83</v>
      </c>
      <c r="K415" t="s">
        <v>84</v>
      </c>
      <c r="L415" t="s">
        <v>1353</v>
      </c>
      <c r="M415" t="s">
        <v>40</v>
      </c>
      <c r="N415">
        <v>8</v>
      </c>
      <c r="O415">
        <v>1918.23</v>
      </c>
      <c r="P415" s="3">
        <v>0</v>
      </c>
      <c r="Q415">
        <v>15345.84</v>
      </c>
      <c r="R415">
        <v>10735.33</v>
      </c>
      <c r="S415">
        <v>4610.51</v>
      </c>
      <c r="T415" t="s">
        <v>120</v>
      </c>
      <c r="U415" t="s">
        <v>77</v>
      </c>
      <c r="V415" s="3">
        <f t="shared" si="54"/>
        <v>0</v>
      </c>
      <c r="W415">
        <f t="shared" si="55"/>
        <v>15345.84</v>
      </c>
      <c r="X415">
        <f t="shared" si="56"/>
        <v>4610.51</v>
      </c>
      <c r="Y415" s="4">
        <f t="shared" si="57"/>
        <v>0.30044037993358463</v>
      </c>
      <c r="Z415">
        <f t="shared" si="58"/>
        <v>4</v>
      </c>
      <c r="AA415">
        <f t="shared" si="59"/>
        <v>8</v>
      </c>
      <c r="AB415">
        <f t="shared" si="60"/>
        <v>2025</v>
      </c>
      <c r="AC415" t="str">
        <f t="shared" si="61"/>
        <v>Unique</v>
      </c>
      <c r="AD415" t="str">
        <f t="shared" si="62"/>
        <v>Warning</v>
      </c>
    </row>
    <row r="416" spans="1:30" x14ac:dyDescent="0.3">
      <c r="A416" t="s">
        <v>1354</v>
      </c>
      <c r="B416" s="2">
        <v>45533</v>
      </c>
      <c r="C416" s="2">
        <v>45534</v>
      </c>
      <c r="D416" t="s">
        <v>1355</v>
      </c>
      <c r="E416" t="s">
        <v>62</v>
      </c>
      <c r="F416" t="s">
        <v>104</v>
      </c>
      <c r="G416" t="s">
        <v>47</v>
      </c>
      <c r="H416" t="s">
        <v>175</v>
      </c>
      <c r="I416" t="s">
        <v>176</v>
      </c>
      <c r="J416" t="s">
        <v>37</v>
      </c>
      <c r="K416" t="s">
        <v>133</v>
      </c>
      <c r="L416" t="s">
        <v>1356</v>
      </c>
      <c r="M416" t="s">
        <v>59</v>
      </c>
      <c r="N416">
        <v>4</v>
      </c>
      <c r="O416">
        <v>2484.08</v>
      </c>
      <c r="P416" s="3">
        <v>0.05</v>
      </c>
      <c r="Q416">
        <v>9439.5</v>
      </c>
      <c r="R416">
        <v>5519.39</v>
      </c>
      <c r="S416">
        <v>3920.11</v>
      </c>
      <c r="T416" t="s">
        <v>41</v>
      </c>
      <c r="U416" t="s">
        <v>42</v>
      </c>
      <c r="V416" s="3">
        <f t="shared" si="54"/>
        <v>0.05</v>
      </c>
      <c r="W416">
        <f t="shared" si="55"/>
        <v>9439.503999999999</v>
      </c>
      <c r="X416">
        <f t="shared" si="56"/>
        <v>3920.1139999999987</v>
      </c>
      <c r="Y416" s="4">
        <f t="shared" si="57"/>
        <v>0.41528813378330037</v>
      </c>
      <c r="Z416">
        <f t="shared" si="58"/>
        <v>1</v>
      </c>
      <c r="AA416">
        <f t="shared" si="59"/>
        <v>8</v>
      </c>
      <c r="AB416">
        <f t="shared" si="60"/>
        <v>2024</v>
      </c>
      <c r="AC416" t="str">
        <f t="shared" si="61"/>
        <v>Unique</v>
      </c>
      <c r="AD416" t="str">
        <f t="shared" si="62"/>
        <v>Clean</v>
      </c>
    </row>
    <row r="417" spans="1:30" x14ac:dyDescent="0.3">
      <c r="A417" t="s">
        <v>1357</v>
      </c>
      <c r="B417" s="2">
        <v>45316</v>
      </c>
      <c r="C417" s="2">
        <v>45318</v>
      </c>
      <c r="D417" t="s">
        <v>1358</v>
      </c>
      <c r="E417" t="s">
        <v>137</v>
      </c>
      <c r="F417" t="s">
        <v>99</v>
      </c>
      <c r="G417" t="s">
        <v>63</v>
      </c>
      <c r="H417" t="s">
        <v>184</v>
      </c>
      <c r="I417" t="s">
        <v>185</v>
      </c>
      <c r="J417" t="s">
        <v>37</v>
      </c>
      <c r="K417" t="s">
        <v>133</v>
      </c>
      <c r="L417" t="s">
        <v>1359</v>
      </c>
      <c r="M417" t="s">
        <v>53</v>
      </c>
      <c r="N417">
        <v>7</v>
      </c>
      <c r="O417">
        <v>1727.26</v>
      </c>
      <c r="P417" s="3">
        <v>0.15</v>
      </c>
      <c r="Q417">
        <v>10277.200000000001</v>
      </c>
      <c r="R417">
        <v>7906.5</v>
      </c>
      <c r="S417">
        <v>2370.6999999999998</v>
      </c>
      <c r="T417" t="s">
        <v>41</v>
      </c>
      <c r="U417" t="s">
        <v>112</v>
      </c>
      <c r="V417" s="3">
        <f t="shared" si="54"/>
        <v>0.15</v>
      </c>
      <c r="W417">
        <f t="shared" si="55"/>
        <v>10277.197</v>
      </c>
      <c r="X417">
        <f t="shared" si="56"/>
        <v>2370.6970000000001</v>
      </c>
      <c r="Y417" s="4">
        <f t="shared" si="57"/>
        <v>0.23067544584384245</v>
      </c>
      <c r="Z417">
        <f t="shared" si="58"/>
        <v>2</v>
      </c>
      <c r="AA417">
        <f t="shared" si="59"/>
        <v>1</v>
      </c>
      <c r="AB417">
        <f t="shared" si="60"/>
        <v>2024</v>
      </c>
      <c r="AC417" t="str">
        <f t="shared" si="61"/>
        <v>Unique</v>
      </c>
      <c r="AD417" t="str">
        <f t="shared" si="62"/>
        <v>Clean</v>
      </c>
    </row>
    <row r="418" spans="1:30" x14ac:dyDescent="0.3">
      <c r="A418" t="s">
        <v>1360</v>
      </c>
      <c r="B418" s="2">
        <v>45665</v>
      </c>
      <c r="C418" s="2">
        <v>45673</v>
      </c>
      <c r="D418" t="s">
        <v>1361</v>
      </c>
      <c r="E418" t="s">
        <v>88</v>
      </c>
      <c r="F418" t="s">
        <v>33</v>
      </c>
      <c r="G418" t="s">
        <v>63</v>
      </c>
      <c r="H418" t="s">
        <v>64</v>
      </c>
      <c r="I418" t="s">
        <v>65</v>
      </c>
      <c r="J418" t="s">
        <v>50</v>
      </c>
      <c r="K418" t="s">
        <v>66</v>
      </c>
      <c r="L418" t="s">
        <v>1362</v>
      </c>
      <c r="M418" t="s">
        <v>59</v>
      </c>
      <c r="N418">
        <v>8</v>
      </c>
      <c r="O418">
        <v>638.95000000000005</v>
      </c>
      <c r="P418" s="3">
        <v>0.25</v>
      </c>
      <c r="Q418">
        <v>3833.7</v>
      </c>
      <c r="R418">
        <v>2886.35</v>
      </c>
      <c r="S418">
        <v>947.35</v>
      </c>
      <c r="T418" t="s">
        <v>41</v>
      </c>
      <c r="U418" t="s">
        <v>42</v>
      </c>
      <c r="V418" s="3">
        <f t="shared" si="54"/>
        <v>0.25</v>
      </c>
      <c r="W418">
        <f t="shared" si="55"/>
        <v>3833.7000000000003</v>
      </c>
      <c r="X418">
        <f t="shared" si="56"/>
        <v>947.35000000000036</v>
      </c>
      <c r="Y418" s="4">
        <f t="shared" si="57"/>
        <v>0.24711114589039318</v>
      </c>
      <c r="Z418">
        <f t="shared" si="58"/>
        <v>8</v>
      </c>
      <c r="AA418">
        <f t="shared" si="59"/>
        <v>1</v>
      </c>
      <c r="AB418">
        <f t="shared" si="60"/>
        <v>2025</v>
      </c>
      <c r="AC418" t="str">
        <f t="shared" si="61"/>
        <v>Unique</v>
      </c>
      <c r="AD418" t="str">
        <f t="shared" si="62"/>
        <v>Clean</v>
      </c>
    </row>
    <row r="419" spans="1:30" x14ac:dyDescent="0.3">
      <c r="A419" t="s">
        <v>1363</v>
      </c>
      <c r="B419" s="2">
        <v>45686</v>
      </c>
      <c r="C419" s="2">
        <v>45693</v>
      </c>
      <c r="D419" t="s">
        <v>1364</v>
      </c>
      <c r="E419" t="s">
        <v>45</v>
      </c>
      <c r="F419" t="s">
        <v>33</v>
      </c>
      <c r="G419" t="s">
        <v>72</v>
      </c>
      <c r="H419" t="s">
        <v>189</v>
      </c>
      <c r="I419" t="s">
        <v>190</v>
      </c>
      <c r="J419" t="s">
        <v>37</v>
      </c>
      <c r="K419" t="s">
        <v>57</v>
      </c>
      <c r="L419" t="s">
        <v>1365</v>
      </c>
      <c r="M419" t="s">
        <v>59</v>
      </c>
      <c r="N419">
        <v>6</v>
      </c>
      <c r="O419">
        <v>3863</v>
      </c>
      <c r="P419" s="3">
        <v>0.2</v>
      </c>
      <c r="Q419">
        <v>18542.400000000001</v>
      </c>
      <c r="R419">
        <v>11193.75</v>
      </c>
      <c r="S419">
        <v>7348.65</v>
      </c>
      <c r="T419" t="s">
        <v>41</v>
      </c>
      <c r="U419" t="s">
        <v>42</v>
      </c>
      <c r="V419" s="3">
        <f t="shared" si="54"/>
        <v>0.2</v>
      </c>
      <c r="W419">
        <f t="shared" si="55"/>
        <v>18542.400000000001</v>
      </c>
      <c r="X419">
        <f t="shared" si="56"/>
        <v>7348.6500000000015</v>
      </c>
      <c r="Y419" s="4">
        <f t="shared" si="57"/>
        <v>0.39631601087237905</v>
      </c>
      <c r="Z419">
        <f t="shared" si="58"/>
        <v>7</v>
      </c>
      <c r="AA419">
        <f t="shared" si="59"/>
        <v>1</v>
      </c>
      <c r="AB419">
        <f t="shared" si="60"/>
        <v>2025</v>
      </c>
      <c r="AC419" t="str">
        <f t="shared" si="61"/>
        <v>Unique</v>
      </c>
      <c r="AD419" t="str">
        <f t="shared" si="62"/>
        <v>Clean</v>
      </c>
    </row>
    <row r="420" spans="1:30" x14ac:dyDescent="0.3">
      <c r="A420" t="s">
        <v>1366</v>
      </c>
      <c r="B420" s="2">
        <v>45605</v>
      </c>
      <c r="C420" s="2">
        <v>45613</v>
      </c>
      <c r="D420" t="s">
        <v>1367</v>
      </c>
      <c r="E420" t="s">
        <v>141</v>
      </c>
      <c r="F420" t="s">
        <v>99</v>
      </c>
      <c r="G420" t="s">
        <v>47</v>
      </c>
      <c r="H420" t="s">
        <v>48</v>
      </c>
      <c r="I420" t="s">
        <v>49</v>
      </c>
      <c r="J420" t="s">
        <v>83</v>
      </c>
      <c r="K420" t="s">
        <v>89</v>
      </c>
      <c r="L420" t="s">
        <v>1368</v>
      </c>
      <c r="M420" t="s">
        <v>68</v>
      </c>
      <c r="N420">
        <v>6</v>
      </c>
      <c r="O420">
        <v>3660.4</v>
      </c>
      <c r="P420" s="3">
        <v>0</v>
      </c>
      <c r="Q420">
        <v>21962.400000000001</v>
      </c>
      <c r="R420">
        <v>15331.99</v>
      </c>
      <c r="S420">
        <v>6630.41</v>
      </c>
      <c r="T420" t="s">
        <v>164</v>
      </c>
      <c r="U420" t="s">
        <v>77</v>
      </c>
      <c r="V420" s="3">
        <f t="shared" si="54"/>
        <v>0</v>
      </c>
      <c r="W420">
        <f t="shared" si="55"/>
        <v>21962.400000000001</v>
      </c>
      <c r="X420">
        <f t="shared" si="56"/>
        <v>6630.4100000000017</v>
      </c>
      <c r="Y420" s="4">
        <f t="shared" si="57"/>
        <v>0.3018982442720286</v>
      </c>
      <c r="Z420">
        <f t="shared" si="58"/>
        <v>8</v>
      </c>
      <c r="AA420">
        <f t="shared" si="59"/>
        <v>11</v>
      </c>
      <c r="AB420">
        <f t="shared" si="60"/>
        <v>2024</v>
      </c>
      <c r="AC420" t="str">
        <f t="shared" si="61"/>
        <v>Unique</v>
      </c>
      <c r="AD420" t="str">
        <f t="shared" si="62"/>
        <v>Warning</v>
      </c>
    </row>
    <row r="421" spans="1:30" x14ac:dyDescent="0.3">
      <c r="A421" t="s">
        <v>1369</v>
      </c>
      <c r="B421" s="2">
        <v>45926</v>
      </c>
      <c r="C421" s="2">
        <v>45930</v>
      </c>
      <c r="D421" t="s">
        <v>1370</v>
      </c>
      <c r="E421" t="s">
        <v>141</v>
      </c>
      <c r="F421" t="s">
        <v>104</v>
      </c>
      <c r="G421" t="s">
        <v>34</v>
      </c>
      <c r="H421" t="s">
        <v>246</v>
      </c>
      <c r="I421" t="s">
        <v>247</v>
      </c>
      <c r="J421" t="s">
        <v>83</v>
      </c>
      <c r="K421" t="s">
        <v>180</v>
      </c>
      <c r="L421" t="s">
        <v>1371</v>
      </c>
      <c r="M421" t="s">
        <v>53</v>
      </c>
      <c r="N421">
        <v>2</v>
      </c>
      <c r="O421">
        <v>688.83</v>
      </c>
      <c r="P421" s="3">
        <v>0.05</v>
      </c>
      <c r="Q421">
        <v>1308.78</v>
      </c>
      <c r="R421">
        <v>843</v>
      </c>
      <c r="S421">
        <v>465.78</v>
      </c>
      <c r="T421" t="s">
        <v>41</v>
      </c>
      <c r="U421" t="s">
        <v>42</v>
      </c>
      <c r="V421" s="3">
        <f t="shared" si="54"/>
        <v>0.05</v>
      </c>
      <c r="W421">
        <f t="shared" si="55"/>
        <v>1308.777</v>
      </c>
      <c r="X421">
        <f t="shared" si="56"/>
        <v>465.77700000000004</v>
      </c>
      <c r="Y421" s="4">
        <f t="shared" si="57"/>
        <v>0.35588721378813964</v>
      </c>
      <c r="Z421">
        <f t="shared" si="58"/>
        <v>4</v>
      </c>
      <c r="AA421">
        <f t="shared" si="59"/>
        <v>9</v>
      </c>
      <c r="AB421">
        <f t="shared" si="60"/>
        <v>2025</v>
      </c>
      <c r="AC421" t="str">
        <f t="shared" si="61"/>
        <v>Unique</v>
      </c>
      <c r="AD421" t="str">
        <f t="shared" si="62"/>
        <v>Clean</v>
      </c>
    </row>
    <row r="422" spans="1:30" x14ac:dyDescent="0.3">
      <c r="A422" t="s">
        <v>1372</v>
      </c>
      <c r="B422" s="2">
        <v>45734</v>
      </c>
      <c r="C422" s="2">
        <v>45735</v>
      </c>
      <c r="D422" t="s">
        <v>1373</v>
      </c>
      <c r="E422" t="s">
        <v>56</v>
      </c>
      <c r="F422" t="s">
        <v>99</v>
      </c>
      <c r="G422" t="s">
        <v>63</v>
      </c>
      <c r="H422" t="s">
        <v>257</v>
      </c>
      <c r="I422" t="s">
        <v>258</v>
      </c>
      <c r="J422" t="s">
        <v>83</v>
      </c>
      <c r="K422" t="s">
        <v>284</v>
      </c>
      <c r="L422" t="s">
        <v>1374</v>
      </c>
      <c r="M422" t="s">
        <v>68</v>
      </c>
      <c r="N422">
        <v>2</v>
      </c>
      <c r="O422">
        <v>1209.99</v>
      </c>
      <c r="P422" s="3">
        <v>0.25</v>
      </c>
      <c r="Q422">
        <v>1814.99</v>
      </c>
      <c r="R422">
        <v>1120.06</v>
      </c>
      <c r="S422">
        <v>694.93</v>
      </c>
      <c r="T422" t="s">
        <v>120</v>
      </c>
      <c r="U422" t="s">
        <v>77</v>
      </c>
      <c r="V422" s="3">
        <f t="shared" si="54"/>
        <v>0.25</v>
      </c>
      <c r="W422">
        <f t="shared" si="55"/>
        <v>1814.9850000000001</v>
      </c>
      <c r="X422">
        <f t="shared" si="56"/>
        <v>694.92500000000018</v>
      </c>
      <c r="Y422" s="4">
        <f t="shared" si="57"/>
        <v>0.38288195219244242</v>
      </c>
      <c r="Z422">
        <f t="shared" si="58"/>
        <v>1</v>
      </c>
      <c r="AA422">
        <f t="shared" si="59"/>
        <v>3</v>
      </c>
      <c r="AB422">
        <f t="shared" si="60"/>
        <v>2025</v>
      </c>
      <c r="AC422" t="str">
        <f t="shared" si="61"/>
        <v>Unique</v>
      </c>
      <c r="AD422" t="str">
        <f t="shared" si="62"/>
        <v>Warning</v>
      </c>
    </row>
    <row r="423" spans="1:30" x14ac:dyDescent="0.3">
      <c r="A423" t="s">
        <v>1375</v>
      </c>
      <c r="B423" s="2">
        <v>45822</v>
      </c>
      <c r="C423" s="2">
        <v>45827</v>
      </c>
      <c r="D423" t="s">
        <v>1376</v>
      </c>
      <c r="E423" t="s">
        <v>150</v>
      </c>
      <c r="F423" t="s">
        <v>46</v>
      </c>
      <c r="G423" t="s">
        <v>34</v>
      </c>
      <c r="H423" t="s">
        <v>360</v>
      </c>
      <c r="I423" t="s">
        <v>361</v>
      </c>
      <c r="J423" t="s">
        <v>37</v>
      </c>
      <c r="K423" t="s">
        <v>162</v>
      </c>
      <c r="L423" t="s">
        <v>1377</v>
      </c>
      <c r="M423" t="s">
        <v>53</v>
      </c>
      <c r="N423">
        <v>3</v>
      </c>
      <c r="O423">
        <v>1037.45</v>
      </c>
      <c r="P423" s="3">
        <v>0.2</v>
      </c>
      <c r="Q423">
        <v>2489.88</v>
      </c>
      <c r="R423">
        <v>1707.52</v>
      </c>
      <c r="S423">
        <v>782.36</v>
      </c>
      <c r="T423" t="s">
        <v>120</v>
      </c>
      <c r="U423" t="s">
        <v>112</v>
      </c>
      <c r="V423" s="3">
        <f t="shared" si="54"/>
        <v>0.2</v>
      </c>
      <c r="W423">
        <f t="shared" si="55"/>
        <v>2489.8800000000006</v>
      </c>
      <c r="X423">
        <f t="shared" si="56"/>
        <v>782.36000000000058</v>
      </c>
      <c r="Y423" s="4">
        <f t="shared" si="57"/>
        <v>0.31421594615001541</v>
      </c>
      <c r="Z423">
        <f t="shared" si="58"/>
        <v>5</v>
      </c>
      <c r="AA423">
        <f t="shared" si="59"/>
        <v>6</v>
      </c>
      <c r="AB423">
        <f t="shared" si="60"/>
        <v>2025</v>
      </c>
      <c r="AC423" t="str">
        <f t="shared" si="61"/>
        <v>Unique</v>
      </c>
      <c r="AD423" t="str">
        <f t="shared" si="62"/>
        <v>Clean</v>
      </c>
    </row>
    <row r="424" spans="1:30" x14ac:dyDescent="0.3">
      <c r="A424" t="s">
        <v>1378</v>
      </c>
      <c r="B424" s="2">
        <v>45903</v>
      </c>
      <c r="C424" s="2">
        <v>45906</v>
      </c>
      <c r="D424" t="s">
        <v>1379</v>
      </c>
      <c r="E424" t="s">
        <v>274</v>
      </c>
      <c r="F424" t="s">
        <v>33</v>
      </c>
      <c r="G424" t="s">
        <v>72</v>
      </c>
      <c r="H424" t="s">
        <v>81</v>
      </c>
      <c r="I424" t="s">
        <v>82</v>
      </c>
      <c r="J424" t="s">
        <v>83</v>
      </c>
      <c r="K424" t="s">
        <v>89</v>
      </c>
      <c r="L424" t="s">
        <v>1380</v>
      </c>
      <c r="M424" t="s">
        <v>53</v>
      </c>
      <c r="N424">
        <v>7</v>
      </c>
      <c r="O424">
        <v>688.85</v>
      </c>
      <c r="P424" s="3">
        <v>0.15</v>
      </c>
      <c r="Q424">
        <v>4098.66</v>
      </c>
      <c r="R424">
        <v>2678.06</v>
      </c>
      <c r="S424">
        <v>1420.6</v>
      </c>
      <c r="T424" t="s">
        <v>41</v>
      </c>
      <c r="U424" t="s">
        <v>42</v>
      </c>
      <c r="V424" s="3">
        <f t="shared" si="54"/>
        <v>0.15</v>
      </c>
      <c r="W424">
        <f t="shared" si="55"/>
        <v>4098.6574999999993</v>
      </c>
      <c r="X424">
        <f t="shared" si="56"/>
        <v>1420.5974999999994</v>
      </c>
      <c r="Y424" s="4">
        <f t="shared" si="57"/>
        <v>0.34660068571233377</v>
      </c>
      <c r="Z424">
        <f t="shared" si="58"/>
        <v>3</v>
      </c>
      <c r="AA424">
        <f t="shared" si="59"/>
        <v>9</v>
      </c>
      <c r="AB424">
        <f t="shared" si="60"/>
        <v>2025</v>
      </c>
      <c r="AC424" t="str">
        <f t="shared" si="61"/>
        <v>Unique</v>
      </c>
      <c r="AD424" t="str">
        <f t="shared" si="62"/>
        <v>Clean</v>
      </c>
    </row>
    <row r="425" spans="1:30" x14ac:dyDescent="0.3">
      <c r="A425" t="s">
        <v>1381</v>
      </c>
      <c r="B425" s="2">
        <v>45342</v>
      </c>
      <c r="C425" s="2">
        <v>45349</v>
      </c>
      <c r="D425" t="s">
        <v>1382</v>
      </c>
      <c r="E425" t="s">
        <v>171</v>
      </c>
      <c r="F425" t="s">
        <v>33</v>
      </c>
      <c r="G425" t="s">
        <v>63</v>
      </c>
      <c r="H425" t="s">
        <v>194</v>
      </c>
      <c r="I425" t="s">
        <v>195</v>
      </c>
      <c r="J425" t="s">
        <v>83</v>
      </c>
      <c r="K425" t="s">
        <v>84</v>
      </c>
      <c r="L425" t="s">
        <v>1383</v>
      </c>
      <c r="M425" t="s">
        <v>59</v>
      </c>
      <c r="N425">
        <v>9</v>
      </c>
      <c r="O425">
        <v>3779.31</v>
      </c>
      <c r="P425" s="3">
        <v>0.2</v>
      </c>
      <c r="Q425">
        <v>27211.03</v>
      </c>
      <c r="R425">
        <v>17940.43</v>
      </c>
      <c r="S425">
        <v>9270.6</v>
      </c>
      <c r="T425" t="s">
        <v>41</v>
      </c>
      <c r="U425" t="s">
        <v>42</v>
      </c>
      <c r="V425" s="3">
        <f t="shared" si="54"/>
        <v>0.2</v>
      </c>
      <c r="W425">
        <f t="shared" si="55"/>
        <v>27211.032000000003</v>
      </c>
      <c r="X425">
        <f t="shared" si="56"/>
        <v>9270.6020000000026</v>
      </c>
      <c r="Y425" s="4">
        <f t="shared" si="57"/>
        <v>0.34069277490100347</v>
      </c>
      <c r="Z425">
        <f t="shared" si="58"/>
        <v>7</v>
      </c>
      <c r="AA425">
        <f t="shared" si="59"/>
        <v>2</v>
      </c>
      <c r="AB425">
        <f t="shared" si="60"/>
        <v>2024</v>
      </c>
      <c r="AC425" t="str">
        <f t="shared" si="61"/>
        <v>Conflict - Review</v>
      </c>
      <c r="AD425" t="str">
        <f t="shared" si="62"/>
        <v>Invalid</v>
      </c>
    </row>
    <row r="426" spans="1:30" x14ac:dyDescent="0.3">
      <c r="A426" t="s">
        <v>1384</v>
      </c>
      <c r="B426" s="2">
        <v>45469</v>
      </c>
      <c r="C426" s="2">
        <v>45472</v>
      </c>
      <c r="D426" t="s">
        <v>1385</v>
      </c>
      <c r="E426" t="s">
        <v>88</v>
      </c>
      <c r="F426" t="s">
        <v>99</v>
      </c>
      <c r="G426" t="s">
        <v>34</v>
      </c>
      <c r="H426" t="s">
        <v>131</v>
      </c>
      <c r="I426" t="s">
        <v>132</v>
      </c>
      <c r="J426" t="s">
        <v>83</v>
      </c>
      <c r="K426" t="s">
        <v>180</v>
      </c>
      <c r="L426" t="s">
        <v>1386</v>
      </c>
      <c r="M426" t="s">
        <v>68</v>
      </c>
      <c r="N426">
        <v>8</v>
      </c>
      <c r="O426">
        <v>804.52</v>
      </c>
      <c r="P426" s="3">
        <v>0</v>
      </c>
      <c r="Q426">
        <v>6436.16</v>
      </c>
      <c r="R426">
        <v>4263.83</v>
      </c>
      <c r="S426">
        <v>2172.33</v>
      </c>
      <c r="T426" t="s">
        <v>41</v>
      </c>
      <c r="U426" t="s">
        <v>42</v>
      </c>
      <c r="V426" s="3">
        <f t="shared" si="54"/>
        <v>0</v>
      </c>
      <c r="W426">
        <f t="shared" si="55"/>
        <v>6436.16</v>
      </c>
      <c r="X426">
        <f t="shared" si="56"/>
        <v>2172.33</v>
      </c>
      <c r="Y426" s="4">
        <f t="shared" si="57"/>
        <v>0.33751957689056827</v>
      </c>
      <c r="Z426">
        <f t="shared" si="58"/>
        <v>3</v>
      </c>
      <c r="AA426">
        <f t="shared" si="59"/>
        <v>6</v>
      </c>
      <c r="AB426">
        <f t="shared" si="60"/>
        <v>2024</v>
      </c>
      <c r="AC426" t="str">
        <f t="shared" si="61"/>
        <v>Unique</v>
      </c>
      <c r="AD426" t="str">
        <f t="shared" si="62"/>
        <v>Clean</v>
      </c>
    </row>
    <row r="427" spans="1:30" x14ac:dyDescent="0.3">
      <c r="A427" t="s">
        <v>1387</v>
      </c>
      <c r="B427" s="2">
        <v>45561</v>
      </c>
      <c r="C427" s="2">
        <v>45562</v>
      </c>
      <c r="D427" t="s">
        <v>1388</v>
      </c>
      <c r="E427" t="s">
        <v>56</v>
      </c>
      <c r="F427" t="s">
        <v>104</v>
      </c>
      <c r="G427" t="s">
        <v>34</v>
      </c>
      <c r="H427" t="s">
        <v>360</v>
      </c>
      <c r="I427" t="s">
        <v>361</v>
      </c>
      <c r="J427" t="s">
        <v>37</v>
      </c>
      <c r="K427" t="s">
        <v>100</v>
      </c>
      <c r="L427" t="s">
        <v>1389</v>
      </c>
      <c r="M427" t="s">
        <v>59</v>
      </c>
      <c r="N427">
        <v>2</v>
      </c>
      <c r="O427">
        <v>1065.69</v>
      </c>
      <c r="P427" s="3">
        <v>0.1</v>
      </c>
      <c r="Q427">
        <v>1918.24</v>
      </c>
      <c r="R427">
        <v>1373.52</v>
      </c>
      <c r="S427">
        <v>544.72</v>
      </c>
      <c r="T427" t="s">
        <v>111</v>
      </c>
      <c r="U427" t="s">
        <v>77</v>
      </c>
      <c r="V427" s="3">
        <f t="shared" si="54"/>
        <v>0.1</v>
      </c>
      <c r="W427">
        <f t="shared" si="55"/>
        <v>1918.2420000000002</v>
      </c>
      <c r="X427">
        <f t="shared" si="56"/>
        <v>544.72200000000021</v>
      </c>
      <c r="Y427" s="4">
        <f t="shared" si="57"/>
        <v>0.2839693844676533</v>
      </c>
      <c r="Z427">
        <f t="shared" si="58"/>
        <v>1</v>
      </c>
      <c r="AA427">
        <f t="shared" si="59"/>
        <v>9</v>
      </c>
      <c r="AB427">
        <f t="shared" si="60"/>
        <v>2024</v>
      </c>
      <c r="AC427" t="str">
        <f t="shared" si="61"/>
        <v>Unique</v>
      </c>
      <c r="AD427" t="str">
        <f t="shared" si="62"/>
        <v>Warning</v>
      </c>
    </row>
    <row r="428" spans="1:30" x14ac:dyDescent="0.3">
      <c r="A428" t="s">
        <v>1390</v>
      </c>
      <c r="B428" s="2">
        <v>45473</v>
      </c>
      <c r="C428" s="2">
        <v>45474</v>
      </c>
      <c r="D428" t="s">
        <v>1391</v>
      </c>
      <c r="E428" t="s">
        <v>98</v>
      </c>
      <c r="F428" t="s">
        <v>33</v>
      </c>
      <c r="G428" t="s">
        <v>34</v>
      </c>
      <c r="H428" t="s">
        <v>246</v>
      </c>
      <c r="I428" t="s">
        <v>247</v>
      </c>
      <c r="J428" t="s">
        <v>83</v>
      </c>
      <c r="K428" t="s">
        <v>89</v>
      </c>
      <c r="L428" t="s">
        <v>1392</v>
      </c>
      <c r="M428" t="s">
        <v>53</v>
      </c>
      <c r="N428">
        <v>8</v>
      </c>
      <c r="O428">
        <v>3756.66</v>
      </c>
      <c r="P428" s="3">
        <v>0.1</v>
      </c>
      <c r="Q428">
        <v>27047.95</v>
      </c>
      <c r="R428">
        <v>18431.330000000002</v>
      </c>
      <c r="S428">
        <v>8616.6200000000008</v>
      </c>
      <c r="T428" t="s">
        <v>41</v>
      </c>
      <c r="U428" t="s">
        <v>42</v>
      </c>
      <c r="V428" s="3">
        <f t="shared" si="54"/>
        <v>0.1</v>
      </c>
      <c r="W428">
        <f t="shared" si="55"/>
        <v>27047.952000000001</v>
      </c>
      <c r="X428">
        <f t="shared" si="56"/>
        <v>8616.6219999999994</v>
      </c>
      <c r="Y428" s="4">
        <f t="shared" si="57"/>
        <v>0.31856837072174626</v>
      </c>
      <c r="Z428">
        <f t="shared" si="58"/>
        <v>1</v>
      </c>
      <c r="AA428">
        <f t="shared" si="59"/>
        <v>6</v>
      </c>
      <c r="AB428">
        <f t="shared" si="60"/>
        <v>2024</v>
      </c>
      <c r="AC428" t="str">
        <f t="shared" si="61"/>
        <v>Unique</v>
      </c>
      <c r="AD428" t="str">
        <f t="shared" si="62"/>
        <v>Clean</v>
      </c>
    </row>
    <row r="429" spans="1:30" x14ac:dyDescent="0.3">
      <c r="A429" t="s">
        <v>1393</v>
      </c>
      <c r="B429" s="2">
        <v>45769</v>
      </c>
      <c r="C429" s="2">
        <v>45771</v>
      </c>
      <c r="D429" t="s">
        <v>1394</v>
      </c>
      <c r="E429" t="s">
        <v>56</v>
      </c>
      <c r="F429" t="s">
        <v>99</v>
      </c>
      <c r="G429" t="s">
        <v>214</v>
      </c>
      <c r="H429" t="s">
        <v>238</v>
      </c>
      <c r="I429" t="s">
        <v>239</v>
      </c>
      <c r="J429" t="s">
        <v>83</v>
      </c>
      <c r="K429" t="s">
        <v>84</v>
      </c>
      <c r="L429" t="s">
        <v>1395</v>
      </c>
      <c r="M429" t="s">
        <v>68</v>
      </c>
      <c r="N429">
        <v>9</v>
      </c>
      <c r="O429">
        <v>2939.44</v>
      </c>
      <c r="P429" s="3">
        <v>0</v>
      </c>
      <c r="Q429">
        <v>26454.959999999999</v>
      </c>
      <c r="R429">
        <v>17630.25</v>
      </c>
      <c r="S429">
        <v>8824.7099999999991</v>
      </c>
      <c r="T429" t="s">
        <v>41</v>
      </c>
      <c r="U429" t="s">
        <v>42</v>
      </c>
      <c r="V429" s="3">
        <f t="shared" si="54"/>
        <v>0</v>
      </c>
      <c r="W429">
        <f t="shared" si="55"/>
        <v>26454.959999999999</v>
      </c>
      <c r="X429">
        <f t="shared" si="56"/>
        <v>8824.7099999999991</v>
      </c>
      <c r="Y429" s="4">
        <f t="shared" si="57"/>
        <v>0.33357487594008833</v>
      </c>
      <c r="Z429">
        <f t="shared" si="58"/>
        <v>2</v>
      </c>
      <c r="AA429">
        <f t="shared" si="59"/>
        <v>4</v>
      </c>
      <c r="AB429">
        <f t="shared" si="60"/>
        <v>2025</v>
      </c>
      <c r="AC429" t="str">
        <f t="shared" si="61"/>
        <v>Unique</v>
      </c>
      <c r="AD429" t="str">
        <f t="shared" si="62"/>
        <v>Warning</v>
      </c>
    </row>
    <row r="430" spans="1:30" x14ac:dyDescent="0.3">
      <c r="A430" t="s">
        <v>1396</v>
      </c>
      <c r="B430" s="2">
        <v>45731</v>
      </c>
      <c r="C430" s="2">
        <v>45738</v>
      </c>
      <c r="D430" t="s">
        <v>1397</v>
      </c>
      <c r="E430" t="s">
        <v>32</v>
      </c>
      <c r="F430" t="s">
        <v>46</v>
      </c>
      <c r="G430" t="s">
        <v>47</v>
      </c>
      <c r="H430" t="s">
        <v>108</v>
      </c>
      <c r="I430" t="s">
        <v>109</v>
      </c>
      <c r="J430" t="s">
        <v>83</v>
      </c>
      <c r="K430" t="s">
        <v>180</v>
      </c>
      <c r="L430" t="s">
        <v>1398</v>
      </c>
      <c r="M430" t="s">
        <v>53</v>
      </c>
      <c r="N430">
        <v>2</v>
      </c>
      <c r="O430">
        <v>1235.93</v>
      </c>
      <c r="P430" s="3">
        <v>0.25</v>
      </c>
      <c r="Q430">
        <v>1853.89</v>
      </c>
      <c r="R430">
        <v>1101.23</v>
      </c>
      <c r="S430">
        <v>752.66</v>
      </c>
      <c r="T430" t="s">
        <v>120</v>
      </c>
      <c r="U430" t="s">
        <v>77</v>
      </c>
      <c r="V430" s="3">
        <f t="shared" si="54"/>
        <v>0.25</v>
      </c>
      <c r="W430">
        <f t="shared" si="55"/>
        <v>1853.895</v>
      </c>
      <c r="X430">
        <f t="shared" si="56"/>
        <v>752.66499999999996</v>
      </c>
      <c r="Y430" s="4">
        <f t="shared" si="57"/>
        <v>0.40599116994220275</v>
      </c>
      <c r="Z430">
        <f t="shared" si="58"/>
        <v>7</v>
      </c>
      <c r="AA430">
        <f t="shared" si="59"/>
        <v>3</v>
      </c>
      <c r="AB430">
        <f t="shared" si="60"/>
        <v>2025</v>
      </c>
      <c r="AC430" t="str">
        <f t="shared" si="61"/>
        <v>Unique</v>
      </c>
      <c r="AD430" t="str">
        <f t="shared" si="62"/>
        <v>Warning</v>
      </c>
    </row>
    <row r="431" spans="1:30" x14ac:dyDescent="0.3">
      <c r="A431" t="s">
        <v>1399</v>
      </c>
      <c r="B431" s="2">
        <v>45717</v>
      </c>
      <c r="C431" s="2">
        <v>45724</v>
      </c>
      <c r="D431" t="s">
        <v>1400</v>
      </c>
      <c r="E431" t="s">
        <v>88</v>
      </c>
      <c r="F431" t="s">
        <v>104</v>
      </c>
      <c r="G431" t="s">
        <v>34</v>
      </c>
      <c r="H431" t="s">
        <v>35</v>
      </c>
      <c r="I431" t="s">
        <v>36</v>
      </c>
      <c r="J431" t="s">
        <v>83</v>
      </c>
      <c r="K431" t="s">
        <v>89</v>
      </c>
      <c r="L431" t="s">
        <v>1401</v>
      </c>
      <c r="M431" t="s">
        <v>53</v>
      </c>
      <c r="N431">
        <v>8</v>
      </c>
      <c r="O431">
        <v>2943.1</v>
      </c>
      <c r="P431" s="3">
        <v>0.25</v>
      </c>
      <c r="Q431">
        <v>17658.599999999999</v>
      </c>
      <c r="R431">
        <v>13842.48</v>
      </c>
      <c r="S431">
        <v>3816.12</v>
      </c>
      <c r="T431" t="s">
        <v>41</v>
      </c>
      <c r="U431" t="s">
        <v>42</v>
      </c>
      <c r="V431" s="3">
        <f t="shared" si="54"/>
        <v>0.25</v>
      </c>
      <c r="W431">
        <f t="shared" si="55"/>
        <v>17658.599999999999</v>
      </c>
      <c r="X431">
        <f t="shared" si="56"/>
        <v>3816.119999999999</v>
      </c>
      <c r="Y431" s="4">
        <f t="shared" si="57"/>
        <v>0.2161054670245659</v>
      </c>
      <c r="Z431">
        <f t="shared" si="58"/>
        <v>7</v>
      </c>
      <c r="AA431">
        <f t="shared" si="59"/>
        <v>3</v>
      </c>
      <c r="AB431">
        <f t="shared" si="60"/>
        <v>2025</v>
      </c>
      <c r="AC431" t="str">
        <f t="shared" si="61"/>
        <v>Unique</v>
      </c>
      <c r="AD431" t="str">
        <f t="shared" si="62"/>
        <v>Clean</v>
      </c>
    </row>
    <row r="432" spans="1:30" x14ac:dyDescent="0.3">
      <c r="A432" t="s">
        <v>1402</v>
      </c>
      <c r="B432" s="2">
        <v>45534</v>
      </c>
      <c r="C432" s="2">
        <v>45537</v>
      </c>
      <c r="D432" t="s">
        <v>1403</v>
      </c>
      <c r="E432" t="s">
        <v>88</v>
      </c>
      <c r="F432" t="s">
        <v>46</v>
      </c>
      <c r="G432" t="s">
        <v>34</v>
      </c>
      <c r="H432" t="s">
        <v>246</v>
      </c>
      <c r="I432" t="s">
        <v>247</v>
      </c>
      <c r="J432" t="s">
        <v>37</v>
      </c>
      <c r="K432" t="s">
        <v>38</v>
      </c>
      <c r="L432" t="s">
        <v>1404</v>
      </c>
      <c r="M432" t="s">
        <v>40</v>
      </c>
      <c r="N432">
        <v>1</v>
      </c>
      <c r="O432">
        <v>4320.84</v>
      </c>
      <c r="P432" s="3">
        <v>0.15</v>
      </c>
      <c r="Q432">
        <v>3672.71</v>
      </c>
      <c r="R432">
        <v>2714.23</v>
      </c>
      <c r="S432">
        <v>763.38</v>
      </c>
      <c r="T432" t="s">
        <v>41</v>
      </c>
      <c r="U432" t="s">
        <v>42</v>
      </c>
      <c r="V432" s="3">
        <f t="shared" si="54"/>
        <v>0.15</v>
      </c>
      <c r="W432">
        <f t="shared" si="55"/>
        <v>3672.7139999999999</v>
      </c>
      <c r="X432">
        <f t="shared" si="56"/>
        <v>958.48399999999992</v>
      </c>
      <c r="Y432" s="4">
        <f t="shared" si="57"/>
        <v>0.26097430946161337</v>
      </c>
      <c r="Z432">
        <f t="shared" si="58"/>
        <v>3</v>
      </c>
      <c r="AA432">
        <f t="shared" si="59"/>
        <v>8</v>
      </c>
      <c r="AB432">
        <f t="shared" si="60"/>
        <v>2024</v>
      </c>
      <c r="AC432" t="str">
        <f t="shared" si="61"/>
        <v>Unique</v>
      </c>
      <c r="AD432" t="str">
        <f t="shared" si="62"/>
        <v>Clean</v>
      </c>
    </row>
    <row r="433" spans="1:30" x14ac:dyDescent="0.3">
      <c r="A433" t="s">
        <v>1405</v>
      </c>
      <c r="B433" s="2">
        <v>45332</v>
      </c>
      <c r="C433" s="2">
        <v>45335</v>
      </c>
      <c r="D433" t="s">
        <v>1406</v>
      </c>
      <c r="E433" t="s">
        <v>32</v>
      </c>
      <c r="F433" t="s">
        <v>104</v>
      </c>
      <c r="G433" t="s">
        <v>72</v>
      </c>
      <c r="H433" t="s">
        <v>199</v>
      </c>
      <c r="I433" t="s">
        <v>200</v>
      </c>
      <c r="J433" t="s">
        <v>83</v>
      </c>
      <c r="K433" t="s">
        <v>284</v>
      </c>
      <c r="L433" t="s">
        <v>1407</v>
      </c>
      <c r="M433" t="s">
        <v>53</v>
      </c>
      <c r="N433">
        <v>2</v>
      </c>
      <c r="O433">
        <v>4118.45</v>
      </c>
      <c r="P433" s="3">
        <v>0.25</v>
      </c>
      <c r="Q433">
        <v>6177.67</v>
      </c>
      <c r="R433">
        <v>4520.75</v>
      </c>
      <c r="S433">
        <v>1656.92</v>
      </c>
      <c r="T433" t="s">
        <v>41</v>
      </c>
      <c r="U433" t="s">
        <v>42</v>
      </c>
      <c r="V433" s="3">
        <f t="shared" si="54"/>
        <v>0.25</v>
      </c>
      <c r="W433">
        <f t="shared" si="55"/>
        <v>6177.6749999999993</v>
      </c>
      <c r="X433">
        <f t="shared" si="56"/>
        <v>1656.9249999999993</v>
      </c>
      <c r="Y433" s="4">
        <f t="shared" si="57"/>
        <v>0.26821174632851347</v>
      </c>
      <c r="Z433">
        <f t="shared" si="58"/>
        <v>3</v>
      </c>
      <c r="AA433">
        <f t="shared" si="59"/>
        <v>2</v>
      </c>
      <c r="AB433">
        <f t="shared" si="60"/>
        <v>2024</v>
      </c>
      <c r="AC433" t="str">
        <f t="shared" si="61"/>
        <v>Unique</v>
      </c>
      <c r="AD433" t="str">
        <f t="shared" si="62"/>
        <v>Clean</v>
      </c>
    </row>
    <row r="434" spans="1:30" x14ac:dyDescent="0.3">
      <c r="A434" t="s">
        <v>1408</v>
      </c>
      <c r="B434" s="2">
        <v>45533</v>
      </c>
      <c r="C434" s="2">
        <v>45537</v>
      </c>
      <c r="D434" t="s">
        <v>1409</v>
      </c>
      <c r="E434" t="s">
        <v>123</v>
      </c>
      <c r="F434" t="s">
        <v>46</v>
      </c>
      <c r="G434" t="s">
        <v>72</v>
      </c>
      <c r="H434" t="s">
        <v>73</v>
      </c>
      <c r="I434" t="s">
        <v>74</v>
      </c>
      <c r="J434" t="s">
        <v>50</v>
      </c>
      <c r="K434" t="s">
        <v>167</v>
      </c>
      <c r="L434" t="s">
        <v>1410</v>
      </c>
      <c r="M434" t="s">
        <v>68</v>
      </c>
      <c r="N434">
        <v>6</v>
      </c>
      <c r="O434">
        <v>172.82</v>
      </c>
      <c r="P434" s="3">
        <v>0.05</v>
      </c>
      <c r="Q434">
        <v>985.07</v>
      </c>
      <c r="R434">
        <v>844.48</v>
      </c>
      <c r="S434">
        <v>140.59</v>
      </c>
      <c r="T434" t="s">
        <v>41</v>
      </c>
      <c r="U434" t="s">
        <v>42</v>
      </c>
      <c r="V434" s="3">
        <f t="shared" si="54"/>
        <v>0.05</v>
      </c>
      <c r="W434">
        <f t="shared" si="55"/>
        <v>985.07400000000007</v>
      </c>
      <c r="X434">
        <f t="shared" si="56"/>
        <v>140.59400000000005</v>
      </c>
      <c r="Y434" s="4">
        <f t="shared" si="57"/>
        <v>0.14272430294576857</v>
      </c>
      <c r="Z434">
        <f t="shared" si="58"/>
        <v>4</v>
      </c>
      <c r="AA434">
        <f t="shared" si="59"/>
        <v>8</v>
      </c>
      <c r="AB434">
        <f t="shared" si="60"/>
        <v>2024</v>
      </c>
      <c r="AC434" t="str">
        <f t="shared" si="61"/>
        <v>Unique</v>
      </c>
      <c r="AD434" t="str">
        <f t="shared" si="62"/>
        <v>Clean</v>
      </c>
    </row>
    <row r="435" spans="1:30" x14ac:dyDescent="0.3">
      <c r="A435" t="s">
        <v>1411</v>
      </c>
      <c r="B435" s="2">
        <v>45401</v>
      </c>
      <c r="C435" s="2">
        <v>45402</v>
      </c>
      <c r="D435" t="s">
        <v>1412</v>
      </c>
      <c r="E435" t="s">
        <v>123</v>
      </c>
      <c r="F435" t="s">
        <v>99</v>
      </c>
      <c r="G435" t="s">
        <v>63</v>
      </c>
      <c r="H435" t="s">
        <v>194</v>
      </c>
      <c r="I435" t="s">
        <v>195</v>
      </c>
      <c r="J435" t="s">
        <v>37</v>
      </c>
      <c r="K435" t="s">
        <v>57</v>
      </c>
      <c r="L435" t="s">
        <v>1413</v>
      </c>
      <c r="M435" t="s">
        <v>40</v>
      </c>
      <c r="N435">
        <v>4</v>
      </c>
      <c r="O435">
        <v>1540.22</v>
      </c>
      <c r="P435" s="3">
        <v>0</v>
      </c>
      <c r="Q435">
        <v>6160.88</v>
      </c>
      <c r="R435">
        <v>4938.7</v>
      </c>
      <c r="S435">
        <v>1222.18</v>
      </c>
      <c r="T435" t="s">
        <v>111</v>
      </c>
      <c r="U435" t="s">
        <v>112</v>
      </c>
      <c r="V435" s="3">
        <f t="shared" si="54"/>
        <v>0</v>
      </c>
      <c r="W435">
        <f t="shared" si="55"/>
        <v>6160.88</v>
      </c>
      <c r="X435">
        <f t="shared" si="56"/>
        <v>1222.1800000000003</v>
      </c>
      <c r="Y435" s="4">
        <f t="shared" si="57"/>
        <v>0.19837750451234243</v>
      </c>
      <c r="Z435">
        <f t="shared" si="58"/>
        <v>1</v>
      </c>
      <c r="AA435">
        <f t="shared" si="59"/>
        <v>4</v>
      </c>
      <c r="AB435">
        <f t="shared" si="60"/>
        <v>2024</v>
      </c>
      <c r="AC435" t="str">
        <f t="shared" si="61"/>
        <v>Unique</v>
      </c>
      <c r="AD435" t="str">
        <f t="shared" si="62"/>
        <v>Clean</v>
      </c>
    </row>
    <row r="436" spans="1:30" x14ac:dyDescent="0.3">
      <c r="A436" t="s">
        <v>1414</v>
      </c>
      <c r="B436" s="2">
        <v>45758</v>
      </c>
      <c r="C436" s="2">
        <v>45762</v>
      </c>
      <c r="D436" t="s">
        <v>1415</v>
      </c>
      <c r="E436" t="s">
        <v>45</v>
      </c>
      <c r="F436" t="s">
        <v>104</v>
      </c>
      <c r="G436" t="s">
        <v>34</v>
      </c>
      <c r="H436" t="s">
        <v>145</v>
      </c>
      <c r="I436" t="s">
        <v>146</v>
      </c>
      <c r="J436" t="s">
        <v>83</v>
      </c>
      <c r="K436" t="s">
        <v>84</v>
      </c>
      <c r="L436" t="s">
        <v>1416</v>
      </c>
      <c r="M436" t="s">
        <v>40</v>
      </c>
      <c r="N436">
        <v>5</v>
      </c>
      <c r="O436">
        <v>652.78</v>
      </c>
      <c r="P436" s="3">
        <v>0</v>
      </c>
      <c r="Q436">
        <v>3263.9</v>
      </c>
      <c r="R436">
        <v>2068.44</v>
      </c>
      <c r="S436">
        <v>1195.46</v>
      </c>
      <c r="T436" t="s">
        <v>41</v>
      </c>
      <c r="U436" t="s">
        <v>42</v>
      </c>
      <c r="V436" s="3">
        <f t="shared" si="54"/>
        <v>0</v>
      </c>
      <c r="W436">
        <f t="shared" si="55"/>
        <v>3263.8999999999996</v>
      </c>
      <c r="X436">
        <f t="shared" si="56"/>
        <v>1195.4599999999996</v>
      </c>
      <c r="Y436" s="4">
        <f t="shared" si="57"/>
        <v>0.3662673488771101</v>
      </c>
      <c r="Z436">
        <f t="shared" si="58"/>
        <v>4</v>
      </c>
      <c r="AA436">
        <f t="shared" si="59"/>
        <v>4</v>
      </c>
      <c r="AB436">
        <f t="shared" si="60"/>
        <v>2025</v>
      </c>
      <c r="AC436" t="str">
        <f t="shared" si="61"/>
        <v>Unique</v>
      </c>
      <c r="AD436" t="str">
        <f t="shared" si="62"/>
        <v>Clean</v>
      </c>
    </row>
    <row r="437" spans="1:30" x14ac:dyDescent="0.3">
      <c r="A437" t="s">
        <v>1417</v>
      </c>
      <c r="B437" s="2">
        <v>45759</v>
      </c>
      <c r="C437" s="2">
        <v>45767</v>
      </c>
      <c r="D437" t="s">
        <v>1418</v>
      </c>
      <c r="E437" t="s">
        <v>274</v>
      </c>
      <c r="F437" t="s">
        <v>104</v>
      </c>
      <c r="G437" t="s">
        <v>34</v>
      </c>
      <c r="H437" t="s">
        <v>360</v>
      </c>
      <c r="I437" t="s">
        <v>361</v>
      </c>
      <c r="J437" t="s">
        <v>83</v>
      </c>
      <c r="K437" t="s">
        <v>284</v>
      </c>
      <c r="L437" t="s">
        <v>1419</v>
      </c>
      <c r="M437" t="s">
        <v>68</v>
      </c>
      <c r="N437">
        <v>1</v>
      </c>
      <c r="O437">
        <v>2737.71</v>
      </c>
      <c r="P437" s="3">
        <v>0.15</v>
      </c>
      <c r="Q437">
        <v>2327.0500000000002</v>
      </c>
      <c r="R437">
        <v>1919.42</v>
      </c>
      <c r="S437">
        <v>407.63</v>
      </c>
      <c r="T437" t="s">
        <v>41</v>
      </c>
      <c r="U437" t="s">
        <v>77</v>
      </c>
      <c r="V437" s="3">
        <f t="shared" si="54"/>
        <v>0.15</v>
      </c>
      <c r="W437">
        <f t="shared" si="55"/>
        <v>2327.0535</v>
      </c>
      <c r="X437">
        <f t="shared" si="56"/>
        <v>407.63349999999991</v>
      </c>
      <c r="Y437" s="4">
        <f t="shared" si="57"/>
        <v>0.17517152055163318</v>
      </c>
      <c r="Z437">
        <f t="shared" si="58"/>
        <v>8</v>
      </c>
      <c r="AA437">
        <f t="shared" si="59"/>
        <v>4</v>
      </c>
      <c r="AB437">
        <f t="shared" si="60"/>
        <v>2025</v>
      </c>
      <c r="AC437" t="str">
        <f t="shared" si="61"/>
        <v>Unique</v>
      </c>
      <c r="AD437" t="str">
        <f t="shared" si="62"/>
        <v>Warning</v>
      </c>
    </row>
    <row r="438" spans="1:30" x14ac:dyDescent="0.3">
      <c r="A438" t="s">
        <v>1420</v>
      </c>
      <c r="B438" s="2">
        <v>45459</v>
      </c>
      <c r="C438" s="2">
        <v>45464</v>
      </c>
      <c r="D438" t="s">
        <v>1421</v>
      </c>
      <c r="E438" t="s">
        <v>88</v>
      </c>
      <c r="F438" t="s">
        <v>33</v>
      </c>
      <c r="G438" t="s">
        <v>63</v>
      </c>
      <c r="H438" t="s">
        <v>194</v>
      </c>
      <c r="I438" t="s">
        <v>195</v>
      </c>
      <c r="J438" t="s">
        <v>50</v>
      </c>
      <c r="K438" t="s">
        <v>66</v>
      </c>
      <c r="L438" t="s">
        <v>1422</v>
      </c>
      <c r="M438" t="s">
        <v>53</v>
      </c>
      <c r="N438">
        <v>6</v>
      </c>
      <c r="O438">
        <v>1156.78</v>
      </c>
      <c r="P438" s="3">
        <v>0.05</v>
      </c>
      <c r="Q438">
        <v>6593.65</v>
      </c>
      <c r="R438">
        <v>4359.3900000000003</v>
      </c>
      <c r="S438">
        <v>2234.2600000000002</v>
      </c>
      <c r="T438" t="s">
        <v>41</v>
      </c>
      <c r="U438" t="s">
        <v>112</v>
      </c>
      <c r="V438" s="3">
        <f t="shared" si="54"/>
        <v>0.05</v>
      </c>
      <c r="W438">
        <f t="shared" si="55"/>
        <v>6593.6459999999997</v>
      </c>
      <c r="X438">
        <f t="shared" si="56"/>
        <v>2234.2559999999994</v>
      </c>
      <c r="Y438" s="4">
        <f t="shared" si="57"/>
        <v>0.33884985636171544</v>
      </c>
      <c r="Z438">
        <f t="shared" si="58"/>
        <v>5</v>
      </c>
      <c r="AA438">
        <f t="shared" si="59"/>
        <v>6</v>
      </c>
      <c r="AB438">
        <f t="shared" si="60"/>
        <v>2024</v>
      </c>
      <c r="AC438" t="str">
        <f t="shared" si="61"/>
        <v>Unique</v>
      </c>
      <c r="AD438" t="str">
        <f t="shared" si="62"/>
        <v>Clean</v>
      </c>
    </row>
    <row r="439" spans="1:30" x14ac:dyDescent="0.3">
      <c r="A439" t="s">
        <v>1423</v>
      </c>
      <c r="B439" s="2">
        <v>45337</v>
      </c>
      <c r="C439" s="2">
        <v>45340</v>
      </c>
      <c r="D439" t="s">
        <v>1424</v>
      </c>
      <c r="E439" t="s">
        <v>98</v>
      </c>
      <c r="F439" t="s">
        <v>46</v>
      </c>
      <c r="G439" t="s">
        <v>63</v>
      </c>
      <c r="H439" t="s">
        <v>194</v>
      </c>
      <c r="I439" t="s">
        <v>195</v>
      </c>
      <c r="J439" t="s">
        <v>83</v>
      </c>
      <c r="K439" t="s">
        <v>84</v>
      </c>
      <c r="L439" t="s">
        <v>1425</v>
      </c>
      <c r="M439" t="s">
        <v>53</v>
      </c>
      <c r="N439">
        <v>8</v>
      </c>
      <c r="O439">
        <v>379.82</v>
      </c>
      <c r="P439" s="3">
        <v>0.05</v>
      </c>
      <c r="Q439">
        <v>2886.63</v>
      </c>
      <c r="R439">
        <v>1588.23</v>
      </c>
      <c r="S439">
        <v>1298.4000000000001</v>
      </c>
      <c r="T439" t="s">
        <v>164</v>
      </c>
      <c r="U439" t="s">
        <v>112</v>
      </c>
      <c r="V439" s="3">
        <f t="shared" si="54"/>
        <v>0.05</v>
      </c>
      <c r="W439">
        <f t="shared" si="55"/>
        <v>2886.6319999999996</v>
      </c>
      <c r="X439">
        <f t="shared" si="56"/>
        <v>1298.4019999999996</v>
      </c>
      <c r="Y439" s="4">
        <f t="shared" si="57"/>
        <v>0.44979824238073984</v>
      </c>
      <c r="Z439">
        <f t="shared" si="58"/>
        <v>3</v>
      </c>
      <c r="AA439">
        <f t="shared" si="59"/>
        <v>2</v>
      </c>
      <c r="AB439">
        <f t="shared" si="60"/>
        <v>2024</v>
      </c>
      <c r="AC439" t="str">
        <f t="shared" si="61"/>
        <v>Unique</v>
      </c>
      <c r="AD439" t="str">
        <f t="shared" si="62"/>
        <v>Warning</v>
      </c>
    </row>
    <row r="440" spans="1:30" x14ac:dyDescent="0.3">
      <c r="A440" t="s">
        <v>1426</v>
      </c>
      <c r="B440" s="2">
        <v>45784</v>
      </c>
      <c r="C440" s="2">
        <v>45782</v>
      </c>
      <c r="D440" t="s">
        <v>1427</v>
      </c>
      <c r="E440" t="s">
        <v>88</v>
      </c>
      <c r="F440" t="s">
        <v>99</v>
      </c>
      <c r="G440" t="s">
        <v>47</v>
      </c>
      <c r="H440" t="s">
        <v>238</v>
      </c>
      <c r="I440" t="s">
        <v>239</v>
      </c>
      <c r="J440" t="s">
        <v>83</v>
      </c>
      <c r="K440" t="s">
        <v>180</v>
      </c>
      <c r="L440" t="s">
        <v>1428</v>
      </c>
      <c r="M440" t="s">
        <v>68</v>
      </c>
      <c r="N440">
        <v>1</v>
      </c>
      <c r="O440">
        <v>2266.4699999999998</v>
      </c>
      <c r="P440" s="3">
        <v>0.2</v>
      </c>
      <c r="Q440">
        <v>1813.18</v>
      </c>
      <c r="R440">
        <v>1363.64</v>
      </c>
      <c r="S440">
        <v>449.54</v>
      </c>
      <c r="T440" t="s">
        <v>41</v>
      </c>
      <c r="U440" t="s">
        <v>42</v>
      </c>
      <c r="V440" s="3">
        <f t="shared" si="54"/>
        <v>0.2</v>
      </c>
      <c r="W440">
        <f t="shared" si="55"/>
        <v>1813.1759999999999</v>
      </c>
      <c r="X440">
        <f t="shared" si="56"/>
        <v>449.53599999999983</v>
      </c>
      <c r="Y440" s="4">
        <f t="shared" si="57"/>
        <v>0.24792739370033567</v>
      </c>
      <c r="Z440">
        <f t="shared" si="58"/>
        <v>-2</v>
      </c>
      <c r="AA440">
        <f t="shared" si="59"/>
        <v>5</v>
      </c>
      <c r="AB440">
        <f t="shared" si="60"/>
        <v>2025</v>
      </c>
      <c r="AC440" t="str">
        <f t="shared" si="61"/>
        <v>Unique</v>
      </c>
      <c r="AD440" t="str">
        <f t="shared" si="62"/>
        <v>Invalid</v>
      </c>
    </row>
    <row r="441" spans="1:30" x14ac:dyDescent="0.3">
      <c r="A441" t="s">
        <v>1429</v>
      </c>
      <c r="B441" s="2">
        <v>45838</v>
      </c>
      <c r="C441" s="2">
        <v>45841</v>
      </c>
      <c r="D441" t="s">
        <v>1430</v>
      </c>
      <c r="E441" t="s">
        <v>137</v>
      </c>
      <c r="F441" t="s">
        <v>104</v>
      </c>
      <c r="G441" t="s">
        <v>72</v>
      </c>
      <c r="H441" t="s">
        <v>199</v>
      </c>
      <c r="I441" t="s">
        <v>200</v>
      </c>
      <c r="J441" t="s">
        <v>37</v>
      </c>
      <c r="K441" t="s">
        <v>133</v>
      </c>
      <c r="L441" t="s">
        <v>1431</v>
      </c>
      <c r="M441" t="s">
        <v>53</v>
      </c>
      <c r="N441">
        <v>5</v>
      </c>
      <c r="O441">
        <v>665.25</v>
      </c>
      <c r="P441" s="3">
        <v>0</v>
      </c>
      <c r="Q441">
        <v>3326.25</v>
      </c>
      <c r="R441">
        <v>2689.36</v>
      </c>
      <c r="S441">
        <v>636.89</v>
      </c>
      <c r="T441" t="s">
        <v>111</v>
      </c>
      <c r="U441" t="s">
        <v>112</v>
      </c>
      <c r="V441" s="3">
        <f t="shared" si="54"/>
        <v>0</v>
      </c>
      <c r="W441">
        <f t="shared" si="55"/>
        <v>3326.25</v>
      </c>
      <c r="X441">
        <f t="shared" si="56"/>
        <v>636.88999999999987</v>
      </c>
      <c r="Y441" s="4">
        <f t="shared" si="57"/>
        <v>0.19147388199924836</v>
      </c>
      <c r="Z441">
        <f t="shared" si="58"/>
        <v>3</v>
      </c>
      <c r="AA441">
        <f t="shared" si="59"/>
        <v>6</v>
      </c>
      <c r="AB441">
        <f t="shared" si="60"/>
        <v>2025</v>
      </c>
      <c r="AC441" t="str">
        <f t="shared" si="61"/>
        <v>Unique</v>
      </c>
      <c r="AD441" t="str">
        <f t="shared" si="62"/>
        <v>Clean</v>
      </c>
    </row>
    <row r="442" spans="1:30" x14ac:dyDescent="0.3">
      <c r="A442" t="s">
        <v>1432</v>
      </c>
      <c r="B442" s="2">
        <v>45384</v>
      </c>
      <c r="C442" s="2">
        <v>45390</v>
      </c>
      <c r="D442" t="s">
        <v>280</v>
      </c>
      <c r="E442" t="s">
        <v>80</v>
      </c>
      <c r="F442" t="s">
        <v>99</v>
      </c>
      <c r="G442" t="s">
        <v>47</v>
      </c>
      <c r="H442" t="s">
        <v>48</v>
      </c>
      <c r="I442" t="s">
        <v>49</v>
      </c>
      <c r="J442" t="s">
        <v>83</v>
      </c>
      <c r="K442" t="s">
        <v>284</v>
      </c>
      <c r="L442" t="s">
        <v>1433</v>
      </c>
      <c r="M442" t="s">
        <v>40</v>
      </c>
      <c r="N442">
        <v>6</v>
      </c>
      <c r="O442">
        <v>3722.84</v>
      </c>
      <c r="P442" s="3">
        <v>0.2</v>
      </c>
      <c r="Q442">
        <v>17869.63</v>
      </c>
      <c r="R442">
        <v>12163.8</v>
      </c>
      <c r="S442">
        <v>5705.83</v>
      </c>
      <c r="T442" t="s">
        <v>41</v>
      </c>
      <c r="U442" t="s">
        <v>42</v>
      </c>
      <c r="V442" s="3">
        <f t="shared" si="54"/>
        <v>0.2</v>
      </c>
      <c r="W442">
        <f t="shared" si="55"/>
        <v>17869.632000000001</v>
      </c>
      <c r="X442">
        <f t="shared" si="56"/>
        <v>5705.8320000000022</v>
      </c>
      <c r="Y442" s="4">
        <f t="shared" si="57"/>
        <v>0.31930327384469931</v>
      </c>
      <c r="Z442">
        <f t="shared" si="58"/>
        <v>6</v>
      </c>
      <c r="AA442">
        <f t="shared" si="59"/>
        <v>4</v>
      </c>
      <c r="AB442">
        <f t="shared" si="60"/>
        <v>2024</v>
      </c>
      <c r="AC442" t="str">
        <f t="shared" si="61"/>
        <v>Unique</v>
      </c>
      <c r="AD442" t="str">
        <f t="shared" si="62"/>
        <v>Clean</v>
      </c>
    </row>
    <row r="443" spans="1:30" x14ac:dyDescent="0.3">
      <c r="A443" t="s">
        <v>1434</v>
      </c>
      <c r="B443" s="2">
        <v>45568</v>
      </c>
      <c r="C443" s="2">
        <v>45568</v>
      </c>
      <c r="D443" t="s">
        <v>1435</v>
      </c>
      <c r="E443" t="s">
        <v>32</v>
      </c>
      <c r="F443" t="s">
        <v>33</v>
      </c>
      <c r="G443" t="s">
        <v>47</v>
      </c>
      <c r="H443" t="s">
        <v>154</v>
      </c>
      <c r="I443" t="s">
        <v>155</v>
      </c>
      <c r="J443" t="s">
        <v>50</v>
      </c>
      <c r="K443" t="s">
        <v>167</v>
      </c>
      <c r="L443" t="s">
        <v>1436</v>
      </c>
      <c r="M443" t="s">
        <v>68</v>
      </c>
      <c r="N443">
        <v>6</v>
      </c>
      <c r="O443">
        <v>4217.49</v>
      </c>
      <c r="P443" s="3">
        <v>0</v>
      </c>
      <c r="Q443">
        <v>25304.94</v>
      </c>
      <c r="R443">
        <v>20771.95</v>
      </c>
      <c r="S443">
        <v>4532.99</v>
      </c>
      <c r="T443" t="s">
        <v>41</v>
      </c>
      <c r="U443" t="s">
        <v>77</v>
      </c>
      <c r="V443" s="3">
        <f t="shared" si="54"/>
        <v>0</v>
      </c>
      <c r="W443">
        <f t="shared" si="55"/>
        <v>25304.94</v>
      </c>
      <c r="X443">
        <f t="shared" si="56"/>
        <v>4532.989999999998</v>
      </c>
      <c r="Y443" s="4">
        <f t="shared" si="57"/>
        <v>0.17913458795002077</v>
      </c>
      <c r="Z443">
        <f t="shared" si="58"/>
        <v>0</v>
      </c>
      <c r="AA443">
        <f t="shared" si="59"/>
        <v>10</v>
      </c>
      <c r="AB443">
        <f t="shared" si="60"/>
        <v>2024</v>
      </c>
      <c r="AC443" t="str">
        <f t="shared" si="61"/>
        <v>Unique</v>
      </c>
      <c r="AD443" t="str">
        <f t="shared" si="62"/>
        <v>Warning</v>
      </c>
    </row>
    <row r="444" spans="1:30" x14ac:dyDescent="0.3">
      <c r="A444" t="s">
        <v>1437</v>
      </c>
      <c r="B444" s="2">
        <v>45669</v>
      </c>
      <c r="C444" s="2">
        <v>45676</v>
      </c>
      <c r="D444" t="s">
        <v>1438</v>
      </c>
      <c r="E444" t="s">
        <v>137</v>
      </c>
      <c r="F444" t="s">
        <v>33</v>
      </c>
      <c r="G444" t="s">
        <v>47</v>
      </c>
      <c r="H444" t="s">
        <v>238</v>
      </c>
      <c r="I444" t="s">
        <v>239</v>
      </c>
      <c r="J444" t="s">
        <v>50</v>
      </c>
      <c r="K444" t="s">
        <v>51</v>
      </c>
      <c r="L444" t="s">
        <v>1439</v>
      </c>
      <c r="M444" t="s">
        <v>59</v>
      </c>
      <c r="N444">
        <v>1</v>
      </c>
      <c r="O444">
        <v>1842.31</v>
      </c>
      <c r="P444" s="3">
        <v>0</v>
      </c>
      <c r="Q444">
        <v>1842.31</v>
      </c>
      <c r="R444">
        <v>1019.17</v>
      </c>
      <c r="S444">
        <v>823.14</v>
      </c>
      <c r="T444" t="s">
        <v>41</v>
      </c>
      <c r="U444" t="s">
        <v>42</v>
      </c>
      <c r="V444" s="3">
        <f t="shared" si="54"/>
        <v>0</v>
      </c>
      <c r="W444">
        <f t="shared" si="55"/>
        <v>1842.31</v>
      </c>
      <c r="X444">
        <f t="shared" si="56"/>
        <v>823.14</v>
      </c>
      <c r="Y444" s="4">
        <f t="shared" si="57"/>
        <v>0.44679777019068451</v>
      </c>
      <c r="Z444">
        <f t="shared" si="58"/>
        <v>7</v>
      </c>
      <c r="AA444">
        <f t="shared" si="59"/>
        <v>1</v>
      </c>
      <c r="AB444">
        <f t="shared" si="60"/>
        <v>2025</v>
      </c>
      <c r="AC444" t="str">
        <f t="shared" si="61"/>
        <v>Unique</v>
      </c>
      <c r="AD444" t="str">
        <f t="shared" si="62"/>
        <v>Clean</v>
      </c>
    </row>
    <row r="445" spans="1:30" x14ac:dyDescent="0.3">
      <c r="A445" t="s">
        <v>1440</v>
      </c>
      <c r="B445" s="2">
        <v>45386</v>
      </c>
      <c r="C445" s="2">
        <v>45389</v>
      </c>
      <c r="D445" t="s">
        <v>1441</v>
      </c>
      <c r="E445" t="s">
        <v>150</v>
      </c>
      <c r="F445" t="s">
        <v>104</v>
      </c>
      <c r="G445" t="s">
        <v>47</v>
      </c>
      <c r="H445" t="s">
        <v>48</v>
      </c>
      <c r="I445" t="s">
        <v>49</v>
      </c>
      <c r="J445" t="s">
        <v>50</v>
      </c>
      <c r="K445" t="s">
        <v>66</v>
      </c>
      <c r="L445" t="s">
        <v>1442</v>
      </c>
      <c r="M445" t="s">
        <v>59</v>
      </c>
      <c r="N445">
        <v>1</v>
      </c>
      <c r="O445">
        <v>3683.75</v>
      </c>
      <c r="P445" s="3">
        <v>0.1</v>
      </c>
      <c r="Q445">
        <v>3315.38</v>
      </c>
      <c r="R445">
        <v>2347.6799999999998</v>
      </c>
      <c r="S445">
        <v>967.7</v>
      </c>
      <c r="T445" t="s">
        <v>41</v>
      </c>
      <c r="U445" t="s">
        <v>42</v>
      </c>
      <c r="V445" s="3">
        <f t="shared" si="54"/>
        <v>0.1</v>
      </c>
      <c r="W445">
        <f t="shared" si="55"/>
        <v>3315.375</v>
      </c>
      <c r="X445">
        <f t="shared" si="56"/>
        <v>967.69500000000016</v>
      </c>
      <c r="Y445" s="4">
        <f t="shared" si="57"/>
        <v>0.29188100893564084</v>
      </c>
      <c r="Z445">
        <f t="shared" si="58"/>
        <v>3</v>
      </c>
      <c r="AA445">
        <f t="shared" si="59"/>
        <v>4</v>
      </c>
      <c r="AB445">
        <f t="shared" si="60"/>
        <v>2024</v>
      </c>
      <c r="AC445" t="str">
        <f t="shared" si="61"/>
        <v>Unique</v>
      </c>
      <c r="AD445" t="str">
        <f t="shared" si="62"/>
        <v>Clean</v>
      </c>
    </row>
    <row r="446" spans="1:30" x14ac:dyDescent="0.3">
      <c r="A446" t="s">
        <v>1443</v>
      </c>
      <c r="B446" s="2">
        <v>45881</v>
      </c>
      <c r="C446" s="2">
        <v>45885</v>
      </c>
      <c r="D446" t="s">
        <v>1444</v>
      </c>
      <c r="E446" t="s">
        <v>71</v>
      </c>
      <c r="F446" t="s">
        <v>33</v>
      </c>
      <c r="G446" t="s">
        <v>47</v>
      </c>
      <c r="H446" t="s">
        <v>175</v>
      </c>
      <c r="I446" t="s">
        <v>176</v>
      </c>
      <c r="J446" t="s">
        <v>83</v>
      </c>
      <c r="K446" t="s">
        <v>84</v>
      </c>
      <c r="L446" t="s">
        <v>1445</v>
      </c>
      <c r="M446" t="s">
        <v>53</v>
      </c>
      <c r="N446">
        <v>9</v>
      </c>
      <c r="O446">
        <v>2379.2399999999998</v>
      </c>
      <c r="P446" s="3">
        <v>0.05</v>
      </c>
      <c r="Q446">
        <v>20342.5</v>
      </c>
      <c r="R446">
        <v>12407.51</v>
      </c>
      <c r="S446">
        <v>7934.99</v>
      </c>
      <c r="T446" t="s">
        <v>41</v>
      </c>
      <c r="U446" t="s">
        <v>42</v>
      </c>
      <c r="V446" s="3">
        <f t="shared" si="54"/>
        <v>0.05</v>
      </c>
      <c r="W446">
        <f t="shared" si="55"/>
        <v>20342.501999999997</v>
      </c>
      <c r="X446">
        <f t="shared" si="56"/>
        <v>7934.9919999999966</v>
      </c>
      <c r="Y446" s="4">
        <f t="shared" si="57"/>
        <v>0.39006961877157481</v>
      </c>
      <c r="Z446">
        <f t="shared" si="58"/>
        <v>4</v>
      </c>
      <c r="AA446">
        <f t="shared" si="59"/>
        <v>8</v>
      </c>
      <c r="AB446">
        <f t="shared" si="60"/>
        <v>2025</v>
      </c>
      <c r="AC446" t="str">
        <f t="shared" si="61"/>
        <v>Unique</v>
      </c>
      <c r="AD446" t="str">
        <f t="shared" si="62"/>
        <v>Clean</v>
      </c>
    </row>
    <row r="447" spans="1:30" x14ac:dyDescent="0.3">
      <c r="A447" t="s">
        <v>1446</v>
      </c>
      <c r="B447" s="2">
        <v>45421</v>
      </c>
      <c r="C447" s="2">
        <v>45417</v>
      </c>
      <c r="D447" t="s">
        <v>1447</v>
      </c>
      <c r="E447" t="s">
        <v>62</v>
      </c>
      <c r="F447" t="s">
        <v>33</v>
      </c>
      <c r="G447" t="s">
        <v>47</v>
      </c>
      <c r="H447" t="s">
        <v>175</v>
      </c>
      <c r="I447" t="s">
        <v>176</v>
      </c>
      <c r="J447" t="s">
        <v>50</v>
      </c>
      <c r="K447" t="s">
        <v>167</v>
      </c>
      <c r="L447" t="s">
        <v>1448</v>
      </c>
      <c r="M447" t="s">
        <v>53</v>
      </c>
      <c r="N447">
        <v>2</v>
      </c>
      <c r="O447">
        <v>2111.23</v>
      </c>
      <c r="P447" s="3">
        <v>0.2</v>
      </c>
      <c r="Q447">
        <v>3377.97</v>
      </c>
      <c r="R447">
        <v>2496.29</v>
      </c>
      <c r="S447">
        <v>881.68</v>
      </c>
      <c r="T447" t="s">
        <v>41</v>
      </c>
      <c r="U447" t="s">
        <v>42</v>
      </c>
      <c r="V447" s="3">
        <f t="shared" si="54"/>
        <v>0.2</v>
      </c>
      <c r="W447">
        <f t="shared" si="55"/>
        <v>3377.9680000000003</v>
      </c>
      <c r="X447">
        <f t="shared" si="56"/>
        <v>881.67800000000034</v>
      </c>
      <c r="Y447" s="4">
        <f t="shared" si="57"/>
        <v>0.26100839321154029</v>
      </c>
      <c r="Z447">
        <f t="shared" si="58"/>
        <v>-4</v>
      </c>
      <c r="AA447">
        <f t="shared" si="59"/>
        <v>5</v>
      </c>
      <c r="AB447">
        <f t="shared" si="60"/>
        <v>2024</v>
      </c>
      <c r="AC447" t="str">
        <f t="shared" si="61"/>
        <v>Unique</v>
      </c>
      <c r="AD447" t="str">
        <f t="shared" si="62"/>
        <v>Invalid</v>
      </c>
    </row>
    <row r="448" spans="1:30" x14ac:dyDescent="0.3">
      <c r="A448" t="s">
        <v>1449</v>
      </c>
      <c r="B448" s="2">
        <v>45918</v>
      </c>
      <c r="C448" s="2">
        <v>45919</v>
      </c>
      <c r="D448" t="s">
        <v>1450</v>
      </c>
      <c r="E448" t="s">
        <v>141</v>
      </c>
      <c r="F448" t="s">
        <v>104</v>
      </c>
      <c r="G448" t="s">
        <v>63</v>
      </c>
      <c r="H448" t="s">
        <v>93</v>
      </c>
      <c r="I448" t="s">
        <v>94</v>
      </c>
      <c r="J448" t="s">
        <v>37</v>
      </c>
      <c r="K448" t="s">
        <v>133</v>
      </c>
      <c r="L448" t="s">
        <v>1451</v>
      </c>
      <c r="M448" t="s">
        <v>53</v>
      </c>
      <c r="N448">
        <v>8</v>
      </c>
      <c r="O448">
        <v>4242.51</v>
      </c>
      <c r="P448" s="3">
        <v>0</v>
      </c>
      <c r="Q448">
        <v>33940.080000000002</v>
      </c>
      <c r="R448">
        <v>23754.19</v>
      </c>
      <c r="S448">
        <v>10185.89</v>
      </c>
      <c r="T448" t="s">
        <v>41</v>
      </c>
      <c r="U448" t="s">
        <v>42</v>
      </c>
      <c r="V448" s="3">
        <f t="shared" si="54"/>
        <v>0</v>
      </c>
      <c r="W448">
        <f t="shared" si="55"/>
        <v>33940.080000000002</v>
      </c>
      <c r="X448">
        <f t="shared" si="56"/>
        <v>10185.890000000003</v>
      </c>
      <c r="Y448" s="4">
        <f t="shared" si="57"/>
        <v>0.30011390662603044</v>
      </c>
      <c r="Z448">
        <f t="shared" si="58"/>
        <v>1</v>
      </c>
      <c r="AA448">
        <f t="shared" si="59"/>
        <v>9</v>
      </c>
      <c r="AB448">
        <f t="shared" si="60"/>
        <v>2025</v>
      </c>
      <c r="AC448" t="str">
        <f t="shared" si="61"/>
        <v>Unique</v>
      </c>
      <c r="AD448" t="str">
        <f t="shared" si="62"/>
        <v>Clean</v>
      </c>
    </row>
    <row r="449" spans="1:30" x14ac:dyDescent="0.3">
      <c r="A449" t="s">
        <v>1452</v>
      </c>
      <c r="B449" s="2">
        <v>45879</v>
      </c>
      <c r="C449" s="2">
        <v>45879</v>
      </c>
      <c r="D449" t="s">
        <v>1453</v>
      </c>
      <c r="E449" t="s">
        <v>150</v>
      </c>
      <c r="F449" t="s">
        <v>104</v>
      </c>
      <c r="G449" t="s">
        <v>63</v>
      </c>
      <c r="H449" t="s">
        <v>64</v>
      </c>
      <c r="I449" t="s">
        <v>65</v>
      </c>
      <c r="J449" t="s">
        <v>50</v>
      </c>
      <c r="K449" t="s">
        <v>167</v>
      </c>
      <c r="L449" t="s">
        <v>1454</v>
      </c>
      <c r="M449" t="s">
        <v>68</v>
      </c>
      <c r="N449">
        <v>6</v>
      </c>
      <c r="O449">
        <v>4288.7</v>
      </c>
      <c r="P449" s="3">
        <v>0.15</v>
      </c>
      <c r="Q449">
        <v>21872.37</v>
      </c>
      <c r="R449">
        <v>13829.5</v>
      </c>
      <c r="S449">
        <v>8042.87</v>
      </c>
      <c r="T449" t="s">
        <v>120</v>
      </c>
      <c r="U449" t="s">
        <v>112</v>
      </c>
      <c r="V449" s="3">
        <f t="shared" si="54"/>
        <v>0.15</v>
      </c>
      <c r="W449">
        <f t="shared" si="55"/>
        <v>21872.369999999995</v>
      </c>
      <c r="X449">
        <f t="shared" si="56"/>
        <v>8042.8699999999953</v>
      </c>
      <c r="Y449" s="4">
        <f t="shared" si="57"/>
        <v>0.36771826738483288</v>
      </c>
      <c r="Z449">
        <f t="shared" si="58"/>
        <v>0</v>
      </c>
      <c r="AA449">
        <f t="shared" si="59"/>
        <v>8</v>
      </c>
      <c r="AB449">
        <f t="shared" si="60"/>
        <v>2025</v>
      </c>
      <c r="AC449" t="str">
        <f t="shared" si="61"/>
        <v>Unique</v>
      </c>
      <c r="AD449" t="str">
        <f t="shared" si="62"/>
        <v>Clean</v>
      </c>
    </row>
    <row r="450" spans="1:30" x14ac:dyDescent="0.3">
      <c r="A450" t="s">
        <v>1455</v>
      </c>
      <c r="B450" s="2">
        <v>45306</v>
      </c>
      <c r="C450" s="2">
        <v>45309</v>
      </c>
      <c r="D450" t="s">
        <v>1456</v>
      </c>
      <c r="E450" t="s">
        <v>45</v>
      </c>
      <c r="F450" t="s">
        <v>46</v>
      </c>
      <c r="G450" t="s">
        <v>63</v>
      </c>
      <c r="H450" t="s">
        <v>93</v>
      </c>
      <c r="I450" t="s">
        <v>94</v>
      </c>
      <c r="J450" t="s">
        <v>50</v>
      </c>
      <c r="K450" t="s">
        <v>75</v>
      </c>
      <c r="L450" t="s">
        <v>1457</v>
      </c>
      <c r="M450" t="s">
        <v>59</v>
      </c>
      <c r="N450">
        <v>2</v>
      </c>
      <c r="O450">
        <v>201.21</v>
      </c>
      <c r="P450" s="3">
        <v>0.15</v>
      </c>
      <c r="Q450">
        <v>342.06</v>
      </c>
      <c r="R450">
        <v>244.57</v>
      </c>
      <c r="S450">
        <v>97.49</v>
      </c>
      <c r="T450" t="s">
        <v>41</v>
      </c>
      <c r="U450" t="s">
        <v>42</v>
      </c>
      <c r="V450" s="3">
        <f t="shared" ref="V450:V513" si="63">IF(P450="",0,IF(ISNUMBER(P450),ABS(P450),IF(RIGHT(P450,1)="%",VALUE(LEFT(P450,LEN(P450)-1))/100,P450)))</f>
        <v>0.15</v>
      </c>
      <c r="W450">
        <f t="shared" ref="W450:W513" si="64">N450*O450*(1-V450)</f>
        <v>342.05700000000002</v>
      </c>
      <c r="X450">
        <f t="shared" ref="X450:X513" si="65">W450-R450</f>
        <v>97.487000000000023</v>
      </c>
      <c r="Y450" s="4">
        <f t="shared" ref="Y450:Y513" si="66">IF(W450=0,0,X450/W450)</f>
        <v>0.28500220723446684</v>
      </c>
      <c r="Z450">
        <f t="shared" ref="Z450:Z513" si="67">C450-B450</f>
        <v>3</v>
      </c>
      <c r="AA450">
        <f t="shared" ref="AA450:AA513" si="68">MONTH(B450)</f>
        <v>1</v>
      </c>
      <c r="AB450">
        <f t="shared" ref="AB450:AB513" si="69">YEAR(B450)</f>
        <v>2024</v>
      </c>
      <c r="AC450" t="str">
        <f t="shared" ref="AC450:AC513" si="70">IF(COUNTIF($A$2:$A$913,A450)&gt;1,"Conflict - Review","Unique")</f>
        <v>Unique</v>
      </c>
      <c r="AD450" t="str">
        <f t="shared" ref="AD450:AD513" si="71">IF(OR(C450&lt;B450,AND(ISNUMBER(P450),P450&lt;0),V450&gt;0.65,AC450="Conflict - Review"),"Invalid",IF(OR(G450="Unknown",M450="Unknown",T450="Failed",U450="Cancelled"),"Warning","Clean"))</f>
        <v>Clean</v>
      </c>
    </row>
    <row r="451" spans="1:30" x14ac:dyDescent="0.3">
      <c r="A451" t="s">
        <v>1458</v>
      </c>
      <c r="B451" s="2">
        <v>45449</v>
      </c>
      <c r="C451" s="2">
        <v>45456</v>
      </c>
      <c r="D451" t="s">
        <v>1352</v>
      </c>
      <c r="E451" t="s">
        <v>98</v>
      </c>
      <c r="F451" t="s">
        <v>99</v>
      </c>
      <c r="G451" t="s">
        <v>47</v>
      </c>
      <c r="H451" t="s">
        <v>175</v>
      </c>
      <c r="I451" t="s">
        <v>176</v>
      </c>
      <c r="J451" t="s">
        <v>83</v>
      </c>
      <c r="K451" t="s">
        <v>284</v>
      </c>
      <c r="L451" t="s">
        <v>1459</v>
      </c>
      <c r="M451" t="s">
        <v>40</v>
      </c>
      <c r="N451">
        <v>6</v>
      </c>
      <c r="O451">
        <v>3270.36</v>
      </c>
      <c r="P451" s="3">
        <v>0</v>
      </c>
      <c r="Q451">
        <v>19622.16</v>
      </c>
      <c r="R451">
        <v>14271.27</v>
      </c>
      <c r="S451">
        <v>5350.89</v>
      </c>
      <c r="T451" t="s">
        <v>41</v>
      </c>
      <c r="U451" t="s">
        <v>42</v>
      </c>
      <c r="V451" s="3">
        <f t="shared" si="63"/>
        <v>0</v>
      </c>
      <c r="W451">
        <f t="shared" si="64"/>
        <v>19622.16</v>
      </c>
      <c r="X451">
        <f t="shared" si="65"/>
        <v>5350.8899999999994</v>
      </c>
      <c r="Y451" s="4">
        <f t="shared" si="66"/>
        <v>0.27269627808559299</v>
      </c>
      <c r="Z451">
        <f t="shared" si="67"/>
        <v>7</v>
      </c>
      <c r="AA451">
        <f t="shared" si="68"/>
        <v>6</v>
      </c>
      <c r="AB451">
        <f t="shared" si="69"/>
        <v>2024</v>
      </c>
      <c r="AC451" t="str">
        <f t="shared" si="70"/>
        <v>Unique</v>
      </c>
      <c r="AD451" t="str">
        <f t="shared" si="71"/>
        <v>Clean</v>
      </c>
    </row>
    <row r="452" spans="1:30" x14ac:dyDescent="0.3">
      <c r="A452" t="s">
        <v>1460</v>
      </c>
      <c r="B452" s="2">
        <v>45820</v>
      </c>
      <c r="C452" s="2">
        <v>45827</v>
      </c>
      <c r="D452" t="s">
        <v>1461</v>
      </c>
      <c r="E452" t="s">
        <v>71</v>
      </c>
      <c r="F452" t="s">
        <v>99</v>
      </c>
      <c r="G452" t="s">
        <v>34</v>
      </c>
      <c r="H452" t="s">
        <v>360</v>
      </c>
      <c r="I452" t="s">
        <v>361</v>
      </c>
      <c r="J452" t="s">
        <v>50</v>
      </c>
      <c r="K452" t="s">
        <v>75</v>
      </c>
      <c r="L452" t="s">
        <v>1462</v>
      </c>
      <c r="M452" t="s">
        <v>68</v>
      </c>
      <c r="N452">
        <v>9</v>
      </c>
      <c r="O452">
        <v>2278.5700000000002</v>
      </c>
      <c r="P452" s="3">
        <v>0.25</v>
      </c>
      <c r="Q452">
        <v>15380.35</v>
      </c>
      <c r="R452">
        <v>9907.3700000000008</v>
      </c>
      <c r="S452">
        <v>5472.98</v>
      </c>
      <c r="T452" t="s">
        <v>41</v>
      </c>
      <c r="U452" t="s">
        <v>42</v>
      </c>
      <c r="V452" s="3">
        <f t="shared" si="63"/>
        <v>0.25</v>
      </c>
      <c r="W452">
        <f t="shared" si="64"/>
        <v>15380.3475</v>
      </c>
      <c r="X452">
        <f t="shared" si="65"/>
        <v>5472.9774999999991</v>
      </c>
      <c r="Y452" s="4">
        <f t="shared" si="66"/>
        <v>0.35584225258889624</v>
      </c>
      <c r="Z452">
        <f t="shared" si="67"/>
        <v>7</v>
      </c>
      <c r="AA452">
        <f t="shared" si="68"/>
        <v>6</v>
      </c>
      <c r="AB452">
        <f t="shared" si="69"/>
        <v>2025</v>
      </c>
      <c r="AC452" t="str">
        <f t="shared" si="70"/>
        <v>Unique</v>
      </c>
      <c r="AD452" t="str">
        <f t="shared" si="71"/>
        <v>Clean</v>
      </c>
    </row>
    <row r="453" spans="1:30" x14ac:dyDescent="0.3">
      <c r="A453" t="s">
        <v>1463</v>
      </c>
      <c r="B453" s="2">
        <v>45375</v>
      </c>
      <c r="C453" s="2">
        <v>45377</v>
      </c>
      <c r="D453" t="s">
        <v>1464</v>
      </c>
      <c r="E453" t="s">
        <v>150</v>
      </c>
      <c r="F453" t="s">
        <v>46</v>
      </c>
      <c r="G453" t="s">
        <v>34</v>
      </c>
      <c r="H453" t="s">
        <v>246</v>
      </c>
      <c r="I453" t="s">
        <v>247</v>
      </c>
      <c r="J453" t="s">
        <v>37</v>
      </c>
      <c r="K453" t="s">
        <v>38</v>
      </c>
      <c r="L453" t="s">
        <v>1465</v>
      </c>
      <c r="M453" t="s">
        <v>40</v>
      </c>
      <c r="N453">
        <v>8</v>
      </c>
      <c r="O453">
        <v>1917.64</v>
      </c>
      <c r="P453" s="3">
        <v>0.15</v>
      </c>
      <c r="Q453">
        <v>13039.95</v>
      </c>
      <c r="R453">
        <v>11127.82</v>
      </c>
      <c r="S453">
        <v>1912.13</v>
      </c>
      <c r="T453" t="s">
        <v>41</v>
      </c>
      <c r="U453" t="s">
        <v>77</v>
      </c>
      <c r="V453" s="3">
        <f t="shared" si="63"/>
        <v>0.15</v>
      </c>
      <c r="W453">
        <f t="shared" si="64"/>
        <v>13039.952000000001</v>
      </c>
      <c r="X453">
        <f t="shared" si="65"/>
        <v>1912.1320000000014</v>
      </c>
      <c r="Y453" s="4">
        <f t="shared" si="66"/>
        <v>0.1466364293365498</v>
      </c>
      <c r="Z453">
        <f t="shared" si="67"/>
        <v>2</v>
      </c>
      <c r="AA453">
        <f t="shared" si="68"/>
        <v>3</v>
      </c>
      <c r="AB453">
        <f t="shared" si="69"/>
        <v>2024</v>
      </c>
      <c r="AC453" t="str">
        <f t="shared" si="70"/>
        <v>Unique</v>
      </c>
      <c r="AD453" t="str">
        <f t="shared" si="71"/>
        <v>Warning</v>
      </c>
    </row>
    <row r="454" spans="1:30" x14ac:dyDescent="0.3">
      <c r="A454" t="s">
        <v>1466</v>
      </c>
      <c r="B454" s="2">
        <v>45422</v>
      </c>
      <c r="C454" s="2">
        <v>45428</v>
      </c>
      <c r="D454" t="s">
        <v>1467</v>
      </c>
      <c r="E454" t="s">
        <v>171</v>
      </c>
      <c r="F454" t="s">
        <v>104</v>
      </c>
      <c r="G454" t="s">
        <v>47</v>
      </c>
      <c r="H454" t="s">
        <v>238</v>
      </c>
      <c r="I454" t="s">
        <v>239</v>
      </c>
      <c r="J454" t="s">
        <v>83</v>
      </c>
      <c r="K454" t="s">
        <v>84</v>
      </c>
      <c r="L454" t="s">
        <v>1468</v>
      </c>
      <c r="M454" t="s">
        <v>40</v>
      </c>
      <c r="N454">
        <v>6</v>
      </c>
      <c r="O454">
        <v>2013.33</v>
      </c>
      <c r="P454" s="3">
        <v>0.2</v>
      </c>
      <c r="Q454">
        <v>9663.98</v>
      </c>
      <c r="R454">
        <v>5628.93</v>
      </c>
      <c r="S454">
        <v>4035.05</v>
      </c>
      <c r="T454" t="s">
        <v>41</v>
      </c>
      <c r="U454" t="s">
        <v>42</v>
      </c>
      <c r="V454" s="3">
        <f t="shared" si="63"/>
        <v>0.2</v>
      </c>
      <c r="W454">
        <f t="shared" si="64"/>
        <v>9663.9840000000004</v>
      </c>
      <c r="X454">
        <f t="shared" si="65"/>
        <v>4035.0540000000001</v>
      </c>
      <c r="Y454" s="4">
        <f t="shared" si="66"/>
        <v>0.41753525254180884</v>
      </c>
      <c r="Z454">
        <f t="shared" si="67"/>
        <v>6</v>
      </c>
      <c r="AA454">
        <f t="shared" si="68"/>
        <v>5</v>
      </c>
      <c r="AB454">
        <f t="shared" si="69"/>
        <v>2024</v>
      </c>
      <c r="AC454" t="str">
        <f t="shared" si="70"/>
        <v>Unique</v>
      </c>
      <c r="AD454" t="str">
        <f t="shared" si="71"/>
        <v>Clean</v>
      </c>
    </row>
    <row r="455" spans="1:30" x14ac:dyDescent="0.3">
      <c r="A455" t="s">
        <v>1469</v>
      </c>
      <c r="B455" s="2">
        <v>45780</v>
      </c>
      <c r="C455" s="2">
        <v>45788</v>
      </c>
      <c r="D455" t="s">
        <v>1470</v>
      </c>
      <c r="E455" t="s">
        <v>150</v>
      </c>
      <c r="F455" t="s">
        <v>46</v>
      </c>
      <c r="G455" t="s">
        <v>72</v>
      </c>
      <c r="H455" t="s">
        <v>81</v>
      </c>
      <c r="I455" t="s">
        <v>82</v>
      </c>
      <c r="J455" t="s">
        <v>37</v>
      </c>
      <c r="K455" t="s">
        <v>100</v>
      </c>
      <c r="L455" t="s">
        <v>1471</v>
      </c>
      <c r="M455" t="s">
        <v>53</v>
      </c>
      <c r="N455">
        <v>5</v>
      </c>
      <c r="O455">
        <v>1483.52</v>
      </c>
      <c r="P455" s="3">
        <v>0</v>
      </c>
      <c r="Q455">
        <v>7417.6</v>
      </c>
      <c r="R455">
        <v>4955.8599999999997</v>
      </c>
      <c r="S455">
        <v>2461.7399999999998</v>
      </c>
      <c r="T455" t="s">
        <v>41</v>
      </c>
      <c r="U455" t="s">
        <v>42</v>
      </c>
      <c r="V455" s="3">
        <f t="shared" si="63"/>
        <v>0</v>
      </c>
      <c r="W455">
        <f t="shared" si="64"/>
        <v>7417.6</v>
      </c>
      <c r="X455">
        <f t="shared" si="65"/>
        <v>2461.7400000000007</v>
      </c>
      <c r="Y455" s="4">
        <f t="shared" si="66"/>
        <v>0.3318782355478862</v>
      </c>
      <c r="Z455">
        <f t="shared" si="67"/>
        <v>8</v>
      </c>
      <c r="AA455">
        <f t="shared" si="68"/>
        <v>5</v>
      </c>
      <c r="AB455">
        <f t="shared" si="69"/>
        <v>2025</v>
      </c>
      <c r="AC455" t="str">
        <f t="shared" si="70"/>
        <v>Unique</v>
      </c>
      <c r="AD455" t="str">
        <f t="shared" si="71"/>
        <v>Clean</v>
      </c>
    </row>
    <row r="456" spans="1:30" x14ac:dyDescent="0.3">
      <c r="A456" t="s">
        <v>1472</v>
      </c>
      <c r="B456" s="2">
        <v>45739</v>
      </c>
      <c r="C456" s="2">
        <v>45744</v>
      </c>
      <c r="D456" t="s">
        <v>1473</v>
      </c>
      <c r="E456" t="s">
        <v>80</v>
      </c>
      <c r="F456" t="s">
        <v>46</v>
      </c>
      <c r="G456" t="s">
        <v>34</v>
      </c>
      <c r="H456" t="s">
        <v>35</v>
      </c>
      <c r="I456" t="s">
        <v>36</v>
      </c>
      <c r="J456" t="s">
        <v>50</v>
      </c>
      <c r="K456" t="s">
        <v>66</v>
      </c>
      <c r="L456" t="s">
        <v>1474</v>
      </c>
      <c r="M456" t="s">
        <v>68</v>
      </c>
      <c r="N456">
        <v>9</v>
      </c>
      <c r="O456">
        <v>3298</v>
      </c>
      <c r="P456" s="3">
        <v>0.15</v>
      </c>
      <c r="Q456">
        <v>25229.7</v>
      </c>
      <c r="R456">
        <v>20170.43</v>
      </c>
      <c r="S456">
        <v>5059.2700000000004</v>
      </c>
      <c r="T456" t="s">
        <v>41</v>
      </c>
      <c r="U456" t="s">
        <v>42</v>
      </c>
      <c r="V456" s="3">
        <f t="shared" si="63"/>
        <v>0.15</v>
      </c>
      <c r="W456">
        <f t="shared" si="64"/>
        <v>25229.7</v>
      </c>
      <c r="X456">
        <f t="shared" si="65"/>
        <v>5059.2700000000004</v>
      </c>
      <c r="Y456" s="4">
        <f t="shared" si="66"/>
        <v>0.20052834556098567</v>
      </c>
      <c r="Z456">
        <f t="shared" si="67"/>
        <v>5</v>
      </c>
      <c r="AA456">
        <f t="shared" si="68"/>
        <v>3</v>
      </c>
      <c r="AB456">
        <f t="shared" si="69"/>
        <v>2025</v>
      </c>
      <c r="AC456" t="str">
        <f t="shared" si="70"/>
        <v>Unique</v>
      </c>
      <c r="AD456" t="str">
        <f t="shared" si="71"/>
        <v>Clean</v>
      </c>
    </row>
    <row r="457" spans="1:30" x14ac:dyDescent="0.3">
      <c r="A457" t="s">
        <v>1475</v>
      </c>
      <c r="B457" s="2">
        <v>45491</v>
      </c>
      <c r="C457" s="2">
        <v>45495</v>
      </c>
      <c r="D457" t="s">
        <v>1476</v>
      </c>
      <c r="E457" t="s">
        <v>88</v>
      </c>
      <c r="F457" t="s">
        <v>46</v>
      </c>
      <c r="G457" t="s">
        <v>63</v>
      </c>
      <c r="H457" t="s">
        <v>64</v>
      </c>
      <c r="I457" t="s">
        <v>65</v>
      </c>
      <c r="J457" t="s">
        <v>37</v>
      </c>
      <c r="K457" t="s">
        <v>57</v>
      </c>
      <c r="L457" t="s">
        <v>1477</v>
      </c>
      <c r="M457" t="s">
        <v>68</v>
      </c>
      <c r="N457">
        <v>4</v>
      </c>
      <c r="O457">
        <v>808.77</v>
      </c>
      <c r="P457" s="3">
        <v>0</v>
      </c>
      <c r="Q457">
        <v>3235.08</v>
      </c>
      <c r="R457">
        <v>1848.6</v>
      </c>
      <c r="S457">
        <v>1386.48</v>
      </c>
      <c r="T457" t="s">
        <v>41</v>
      </c>
      <c r="U457" t="s">
        <v>42</v>
      </c>
      <c r="V457" s="3">
        <f t="shared" si="63"/>
        <v>0</v>
      </c>
      <c r="W457">
        <f t="shared" si="64"/>
        <v>3235.08</v>
      </c>
      <c r="X457">
        <f t="shared" si="65"/>
        <v>1386.48</v>
      </c>
      <c r="Y457" s="4">
        <f t="shared" si="66"/>
        <v>0.42857672762342819</v>
      </c>
      <c r="Z457">
        <f t="shared" si="67"/>
        <v>4</v>
      </c>
      <c r="AA457">
        <f t="shared" si="68"/>
        <v>7</v>
      </c>
      <c r="AB457">
        <f t="shared" si="69"/>
        <v>2024</v>
      </c>
      <c r="AC457" t="str">
        <f t="shared" si="70"/>
        <v>Unique</v>
      </c>
      <c r="AD457" t="str">
        <f t="shared" si="71"/>
        <v>Clean</v>
      </c>
    </row>
    <row r="458" spans="1:30" x14ac:dyDescent="0.3">
      <c r="A458" t="s">
        <v>1478</v>
      </c>
      <c r="B458" s="2">
        <v>45342</v>
      </c>
      <c r="C458" s="2">
        <v>45342</v>
      </c>
      <c r="D458" t="s">
        <v>1479</v>
      </c>
      <c r="E458" t="s">
        <v>88</v>
      </c>
      <c r="F458" t="s">
        <v>99</v>
      </c>
      <c r="G458" t="s">
        <v>34</v>
      </c>
      <c r="H458" t="s">
        <v>145</v>
      </c>
      <c r="I458" t="s">
        <v>146</v>
      </c>
      <c r="J458" t="s">
        <v>83</v>
      </c>
      <c r="K458" t="s">
        <v>84</v>
      </c>
      <c r="L458" t="s">
        <v>1480</v>
      </c>
      <c r="M458" t="s">
        <v>53</v>
      </c>
      <c r="N458">
        <v>5</v>
      </c>
      <c r="O458">
        <v>2604.91</v>
      </c>
      <c r="P458" s="3">
        <v>0.15</v>
      </c>
      <c r="Q458">
        <v>11070.87</v>
      </c>
      <c r="R458">
        <v>6623.61</v>
      </c>
      <c r="S458">
        <v>4447.26</v>
      </c>
      <c r="T458" t="s">
        <v>41</v>
      </c>
      <c r="U458" t="s">
        <v>112</v>
      </c>
      <c r="V458" s="3">
        <f t="shared" si="63"/>
        <v>0.15</v>
      </c>
      <c r="W458">
        <f t="shared" si="64"/>
        <v>11070.867499999998</v>
      </c>
      <c r="X458">
        <f t="shared" si="65"/>
        <v>4447.2574999999988</v>
      </c>
      <c r="Y458" s="4">
        <f t="shared" si="66"/>
        <v>0.40170813172499803</v>
      </c>
      <c r="Z458">
        <f t="shared" si="67"/>
        <v>0</v>
      </c>
      <c r="AA458">
        <f t="shared" si="68"/>
        <v>2</v>
      </c>
      <c r="AB458">
        <f t="shared" si="69"/>
        <v>2024</v>
      </c>
      <c r="AC458" t="str">
        <f t="shared" si="70"/>
        <v>Unique</v>
      </c>
      <c r="AD458" t="str">
        <f t="shared" si="71"/>
        <v>Clean</v>
      </c>
    </row>
    <row r="459" spans="1:30" x14ac:dyDescent="0.3">
      <c r="A459" t="s">
        <v>1481</v>
      </c>
      <c r="B459" s="2">
        <v>45416</v>
      </c>
      <c r="C459" s="2">
        <v>45416</v>
      </c>
      <c r="D459" t="s">
        <v>1482</v>
      </c>
      <c r="E459" t="s">
        <v>45</v>
      </c>
      <c r="F459" t="s">
        <v>46</v>
      </c>
      <c r="G459" t="s">
        <v>72</v>
      </c>
      <c r="H459" t="s">
        <v>199</v>
      </c>
      <c r="I459" t="s">
        <v>200</v>
      </c>
      <c r="J459" t="s">
        <v>50</v>
      </c>
      <c r="K459" t="s">
        <v>51</v>
      </c>
      <c r="L459" t="s">
        <v>1483</v>
      </c>
      <c r="M459" t="s">
        <v>68</v>
      </c>
      <c r="N459">
        <v>7</v>
      </c>
      <c r="O459">
        <v>2851.51</v>
      </c>
      <c r="P459" s="3">
        <v>0</v>
      </c>
      <c r="Q459">
        <v>19960.57</v>
      </c>
      <c r="R459">
        <v>16603.599999999999</v>
      </c>
      <c r="S459">
        <v>3356.97</v>
      </c>
      <c r="T459" t="s">
        <v>41</v>
      </c>
      <c r="U459" t="s">
        <v>42</v>
      </c>
      <c r="V459" s="3">
        <f t="shared" si="63"/>
        <v>0</v>
      </c>
      <c r="W459">
        <f t="shared" si="64"/>
        <v>19960.57</v>
      </c>
      <c r="X459">
        <f t="shared" si="65"/>
        <v>3356.9700000000012</v>
      </c>
      <c r="Y459" s="4">
        <f t="shared" si="66"/>
        <v>0.1681800670020947</v>
      </c>
      <c r="Z459">
        <f t="shared" si="67"/>
        <v>0</v>
      </c>
      <c r="AA459">
        <f t="shared" si="68"/>
        <v>5</v>
      </c>
      <c r="AB459">
        <f t="shared" si="69"/>
        <v>2024</v>
      </c>
      <c r="AC459" t="str">
        <f t="shared" si="70"/>
        <v>Unique</v>
      </c>
      <c r="AD459" t="str">
        <f t="shared" si="71"/>
        <v>Clean</v>
      </c>
    </row>
    <row r="460" spans="1:30" x14ac:dyDescent="0.3">
      <c r="A460" t="s">
        <v>1484</v>
      </c>
      <c r="B460" s="2">
        <v>45332</v>
      </c>
      <c r="C460" s="2">
        <v>45333</v>
      </c>
      <c r="D460" t="s">
        <v>1485</v>
      </c>
      <c r="E460" t="s">
        <v>32</v>
      </c>
      <c r="F460" t="s">
        <v>99</v>
      </c>
      <c r="G460" t="s">
        <v>34</v>
      </c>
      <c r="H460" t="s">
        <v>35</v>
      </c>
      <c r="I460" t="s">
        <v>36</v>
      </c>
      <c r="J460" t="s">
        <v>83</v>
      </c>
      <c r="K460" t="s">
        <v>180</v>
      </c>
      <c r="L460" t="s">
        <v>1486</v>
      </c>
      <c r="M460" t="s">
        <v>40</v>
      </c>
      <c r="N460">
        <v>3</v>
      </c>
      <c r="O460">
        <v>3183.72</v>
      </c>
      <c r="P460" s="3">
        <v>0.1</v>
      </c>
      <c r="Q460">
        <v>8596.0400000000009</v>
      </c>
      <c r="R460">
        <v>5378.16</v>
      </c>
      <c r="S460">
        <v>3217.88</v>
      </c>
      <c r="T460" t="s">
        <v>41</v>
      </c>
      <c r="U460" t="s">
        <v>42</v>
      </c>
      <c r="V460" s="3">
        <f t="shared" si="63"/>
        <v>0.1</v>
      </c>
      <c r="W460">
        <f t="shared" si="64"/>
        <v>8596.0439999999999</v>
      </c>
      <c r="X460">
        <f t="shared" si="65"/>
        <v>3217.884</v>
      </c>
      <c r="Y460" s="4">
        <f t="shared" si="66"/>
        <v>0.37434475672762962</v>
      </c>
      <c r="Z460">
        <f t="shared" si="67"/>
        <v>1</v>
      </c>
      <c r="AA460">
        <f t="shared" si="68"/>
        <v>2</v>
      </c>
      <c r="AB460">
        <f t="shared" si="69"/>
        <v>2024</v>
      </c>
      <c r="AC460" t="str">
        <f t="shared" si="70"/>
        <v>Unique</v>
      </c>
      <c r="AD460" t="str">
        <f t="shared" si="71"/>
        <v>Clean</v>
      </c>
    </row>
    <row r="461" spans="1:30" x14ac:dyDescent="0.3">
      <c r="A461" t="s">
        <v>1487</v>
      </c>
      <c r="B461" s="2">
        <v>45379</v>
      </c>
      <c r="C461" s="2">
        <v>45386</v>
      </c>
      <c r="D461" t="s">
        <v>1488</v>
      </c>
      <c r="E461" t="s">
        <v>71</v>
      </c>
      <c r="F461" t="s">
        <v>104</v>
      </c>
      <c r="G461" t="s">
        <v>72</v>
      </c>
      <c r="H461" t="s">
        <v>199</v>
      </c>
      <c r="I461" t="s">
        <v>200</v>
      </c>
      <c r="J461" t="s">
        <v>37</v>
      </c>
      <c r="K461" t="s">
        <v>38</v>
      </c>
      <c r="L461" t="s">
        <v>1489</v>
      </c>
      <c r="M461" t="s">
        <v>59</v>
      </c>
      <c r="N461">
        <v>3</v>
      </c>
      <c r="O461">
        <v>1150.92</v>
      </c>
      <c r="P461" s="3">
        <v>0</v>
      </c>
      <c r="Q461">
        <v>3452.76</v>
      </c>
      <c r="R461">
        <v>2077.96</v>
      </c>
      <c r="S461">
        <v>1374.8</v>
      </c>
      <c r="T461" t="s">
        <v>41</v>
      </c>
      <c r="U461" t="s">
        <v>42</v>
      </c>
      <c r="V461" s="3">
        <f t="shared" si="63"/>
        <v>0</v>
      </c>
      <c r="W461">
        <f t="shared" si="64"/>
        <v>3452.76</v>
      </c>
      <c r="X461">
        <f t="shared" si="65"/>
        <v>1374.8000000000002</v>
      </c>
      <c r="Y461" s="4">
        <f t="shared" si="66"/>
        <v>0.39817421425178701</v>
      </c>
      <c r="Z461">
        <f t="shared" si="67"/>
        <v>7</v>
      </c>
      <c r="AA461">
        <f t="shared" si="68"/>
        <v>3</v>
      </c>
      <c r="AB461">
        <f t="shared" si="69"/>
        <v>2024</v>
      </c>
      <c r="AC461" t="str">
        <f t="shared" si="70"/>
        <v>Unique</v>
      </c>
      <c r="AD461" t="str">
        <f t="shared" si="71"/>
        <v>Clean</v>
      </c>
    </row>
    <row r="462" spans="1:30" x14ac:dyDescent="0.3">
      <c r="A462" t="s">
        <v>1490</v>
      </c>
      <c r="B462" s="2">
        <v>45930</v>
      </c>
      <c r="C462" s="2">
        <v>45936</v>
      </c>
      <c r="D462" t="s">
        <v>1491</v>
      </c>
      <c r="E462" t="s">
        <v>137</v>
      </c>
      <c r="F462" t="s">
        <v>99</v>
      </c>
      <c r="G462" t="s">
        <v>214</v>
      </c>
      <c r="H462" t="s">
        <v>35</v>
      </c>
      <c r="I462" t="s">
        <v>36</v>
      </c>
      <c r="J462" t="s">
        <v>83</v>
      </c>
      <c r="K462" t="s">
        <v>89</v>
      </c>
      <c r="L462" t="s">
        <v>1492</v>
      </c>
      <c r="M462" t="s">
        <v>40</v>
      </c>
      <c r="N462">
        <v>9</v>
      </c>
      <c r="O462">
        <v>1359.88</v>
      </c>
      <c r="P462" s="3">
        <v>0.05</v>
      </c>
      <c r="Q462">
        <v>11626.97</v>
      </c>
      <c r="R462">
        <v>7394.07</v>
      </c>
      <c r="S462">
        <v>4232.8999999999996</v>
      </c>
      <c r="T462" t="s">
        <v>41</v>
      </c>
      <c r="U462" t="s">
        <v>42</v>
      </c>
      <c r="V462" s="3">
        <f t="shared" si="63"/>
        <v>0.05</v>
      </c>
      <c r="W462">
        <f t="shared" si="64"/>
        <v>11626.974000000002</v>
      </c>
      <c r="X462">
        <f t="shared" si="65"/>
        <v>4232.9040000000023</v>
      </c>
      <c r="Y462" s="4">
        <f t="shared" si="66"/>
        <v>0.36405895463428417</v>
      </c>
      <c r="Z462">
        <f t="shared" si="67"/>
        <v>6</v>
      </c>
      <c r="AA462">
        <f t="shared" si="68"/>
        <v>9</v>
      </c>
      <c r="AB462">
        <f t="shared" si="69"/>
        <v>2025</v>
      </c>
      <c r="AC462" t="str">
        <f t="shared" si="70"/>
        <v>Unique</v>
      </c>
      <c r="AD462" t="str">
        <f t="shared" si="71"/>
        <v>Warning</v>
      </c>
    </row>
    <row r="463" spans="1:30" x14ac:dyDescent="0.3">
      <c r="A463" t="s">
        <v>1493</v>
      </c>
      <c r="B463" s="2">
        <v>45802</v>
      </c>
      <c r="C463" s="2">
        <v>45803</v>
      </c>
      <c r="D463" t="s">
        <v>1494</v>
      </c>
      <c r="E463" t="s">
        <v>88</v>
      </c>
      <c r="F463" t="s">
        <v>99</v>
      </c>
      <c r="G463" t="s">
        <v>63</v>
      </c>
      <c r="H463" t="s">
        <v>93</v>
      </c>
      <c r="I463" t="s">
        <v>94</v>
      </c>
      <c r="J463" t="s">
        <v>37</v>
      </c>
      <c r="K463" t="s">
        <v>38</v>
      </c>
      <c r="L463" t="s">
        <v>1495</v>
      </c>
      <c r="M463" t="s">
        <v>68</v>
      </c>
      <c r="N463">
        <v>3</v>
      </c>
      <c r="O463">
        <v>3378.15</v>
      </c>
      <c r="P463" s="3">
        <v>0.15</v>
      </c>
      <c r="Q463">
        <v>8614.2800000000007</v>
      </c>
      <c r="R463">
        <v>7052.08</v>
      </c>
      <c r="S463">
        <v>1562.2</v>
      </c>
      <c r="T463" t="s">
        <v>41</v>
      </c>
      <c r="U463" t="s">
        <v>42</v>
      </c>
      <c r="V463" s="3">
        <f t="shared" si="63"/>
        <v>0.15</v>
      </c>
      <c r="W463">
        <f t="shared" si="64"/>
        <v>8614.2825000000012</v>
      </c>
      <c r="X463">
        <f t="shared" si="65"/>
        <v>1562.2025000000012</v>
      </c>
      <c r="Y463" s="4">
        <f t="shared" si="66"/>
        <v>0.18135027496486225</v>
      </c>
      <c r="Z463">
        <f t="shared" si="67"/>
        <v>1</v>
      </c>
      <c r="AA463">
        <f t="shared" si="68"/>
        <v>5</v>
      </c>
      <c r="AB463">
        <f t="shared" si="69"/>
        <v>2025</v>
      </c>
      <c r="AC463" t="str">
        <f t="shared" si="70"/>
        <v>Unique</v>
      </c>
      <c r="AD463" t="str">
        <f t="shared" si="71"/>
        <v>Clean</v>
      </c>
    </row>
    <row r="464" spans="1:30" x14ac:dyDescent="0.3">
      <c r="A464" t="s">
        <v>1496</v>
      </c>
      <c r="B464" s="2">
        <v>45558</v>
      </c>
      <c r="C464" s="2">
        <v>45560</v>
      </c>
      <c r="D464" t="s">
        <v>1497</v>
      </c>
      <c r="E464" t="s">
        <v>137</v>
      </c>
      <c r="F464" t="s">
        <v>104</v>
      </c>
      <c r="G464" t="s">
        <v>34</v>
      </c>
      <c r="H464" t="s">
        <v>360</v>
      </c>
      <c r="I464" t="s">
        <v>361</v>
      </c>
      <c r="J464" t="s">
        <v>37</v>
      </c>
      <c r="K464" t="s">
        <v>162</v>
      </c>
      <c r="L464" t="s">
        <v>1498</v>
      </c>
      <c r="M464" t="s">
        <v>59</v>
      </c>
      <c r="N464">
        <v>2</v>
      </c>
      <c r="O464">
        <v>1275.1400000000001</v>
      </c>
      <c r="P464" s="3">
        <v>0.2</v>
      </c>
      <c r="Q464">
        <v>2040.22</v>
      </c>
      <c r="R464">
        <v>1395.71</v>
      </c>
      <c r="S464">
        <v>644.51</v>
      </c>
      <c r="T464" t="s">
        <v>41</v>
      </c>
      <c r="U464" t="s">
        <v>42</v>
      </c>
      <c r="V464" s="3">
        <f t="shared" si="63"/>
        <v>0.2</v>
      </c>
      <c r="W464">
        <f t="shared" si="64"/>
        <v>2040.2240000000002</v>
      </c>
      <c r="X464">
        <f t="shared" si="65"/>
        <v>644.51400000000012</v>
      </c>
      <c r="Y464" s="4">
        <f t="shared" si="66"/>
        <v>0.31590354784572677</v>
      </c>
      <c r="Z464">
        <f t="shared" si="67"/>
        <v>2</v>
      </c>
      <c r="AA464">
        <f t="shared" si="68"/>
        <v>9</v>
      </c>
      <c r="AB464">
        <f t="shared" si="69"/>
        <v>2024</v>
      </c>
      <c r="AC464" t="str">
        <f t="shared" si="70"/>
        <v>Unique</v>
      </c>
      <c r="AD464" t="str">
        <f t="shared" si="71"/>
        <v>Clean</v>
      </c>
    </row>
    <row r="465" spans="1:30" x14ac:dyDescent="0.3">
      <c r="A465" t="s">
        <v>1499</v>
      </c>
      <c r="B465" s="2">
        <v>45695</v>
      </c>
      <c r="C465" s="2">
        <v>45696</v>
      </c>
      <c r="D465" t="s">
        <v>1500</v>
      </c>
      <c r="E465" t="s">
        <v>62</v>
      </c>
      <c r="F465" t="s">
        <v>99</v>
      </c>
      <c r="G465" t="s">
        <v>72</v>
      </c>
      <c r="H465" t="s">
        <v>81</v>
      </c>
      <c r="I465" t="s">
        <v>82</v>
      </c>
      <c r="J465" t="s">
        <v>83</v>
      </c>
      <c r="K465" t="s">
        <v>180</v>
      </c>
      <c r="L465" t="s">
        <v>1501</v>
      </c>
      <c r="M465" t="s">
        <v>68</v>
      </c>
      <c r="N465">
        <v>4</v>
      </c>
      <c r="O465">
        <v>889.5</v>
      </c>
      <c r="P465" s="3">
        <v>0.2</v>
      </c>
      <c r="Q465">
        <v>2846.4</v>
      </c>
      <c r="R465">
        <v>2132.37</v>
      </c>
      <c r="S465">
        <v>714.03</v>
      </c>
      <c r="T465" t="s">
        <v>41</v>
      </c>
      <c r="U465" t="s">
        <v>42</v>
      </c>
      <c r="V465" s="3">
        <f t="shared" si="63"/>
        <v>0.2</v>
      </c>
      <c r="W465">
        <f t="shared" si="64"/>
        <v>2846.4</v>
      </c>
      <c r="X465">
        <f t="shared" si="65"/>
        <v>714.0300000000002</v>
      </c>
      <c r="Y465" s="4">
        <f t="shared" si="66"/>
        <v>0.25085370994940986</v>
      </c>
      <c r="Z465">
        <f t="shared" si="67"/>
        <v>1</v>
      </c>
      <c r="AA465">
        <f t="shared" si="68"/>
        <v>2</v>
      </c>
      <c r="AB465">
        <f t="shared" si="69"/>
        <v>2025</v>
      </c>
      <c r="AC465" t="str">
        <f t="shared" si="70"/>
        <v>Unique</v>
      </c>
      <c r="AD465" t="str">
        <f t="shared" si="71"/>
        <v>Clean</v>
      </c>
    </row>
    <row r="466" spans="1:30" x14ac:dyDescent="0.3">
      <c r="A466" t="s">
        <v>1502</v>
      </c>
      <c r="B466" s="2">
        <v>45727</v>
      </c>
      <c r="C466" s="2">
        <v>45731</v>
      </c>
      <c r="D466" t="s">
        <v>1503</v>
      </c>
      <c r="E466" t="s">
        <v>62</v>
      </c>
      <c r="F466" t="s">
        <v>99</v>
      </c>
      <c r="G466" t="s">
        <v>47</v>
      </c>
      <c r="H466" t="s">
        <v>154</v>
      </c>
      <c r="I466" t="s">
        <v>155</v>
      </c>
      <c r="J466" t="s">
        <v>37</v>
      </c>
      <c r="K466" t="s">
        <v>38</v>
      </c>
      <c r="L466" t="s">
        <v>1504</v>
      </c>
      <c r="M466" t="s">
        <v>53</v>
      </c>
      <c r="N466">
        <v>3</v>
      </c>
      <c r="O466">
        <v>3625.08</v>
      </c>
      <c r="P466" s="3">
        <v>0.05</v>
      </c>
      <c r="Q466">
        <v>10331.48</v>
      </c>
      <c r="R466">
        <v>7131.91</v>
      </c>
      <c r="S466">
        <v>3199.57</v>
      </c>
      <c r="T466" t="s">
        <v>120</v>
      </c>
      <c r="U466" t="s">
        <v>77</v>
      </c>
      <c r="V466" s="3">
        <f t="shared" si="63"/>
        <v>0.05</v>
      </c>
      <c r="W466">
        <f t="shared" si="64"/>
        <v>10331.477999999999</v>
      </c>
      <c r="X466">
        <f t="shared" si="65"/>
        <v>3199.5679999999993</v>
      </c>
      <c r="Y466" s="4">
        <f t="shared" si="66"/>
        <v>0.30969121746181905</v>
      </c>
      <c r="Z466">
        <f t="shared" si="67"/>
        <v>4</v>
      </c>
      <c r="AA466">
        <f t="shared" si="68"/>
        <v>3</v>
      </c>
      <c r="AB466">
        <f t="shared" si="69"/>
        <v>2025</v>
      </c>
      <c r="AC466" t="str">
        <f t="shared" si="70"/>
        <v>Unique</v>
      </c>
      <c r="AD466" t="str">
        <f t="shared" si="71"/>
        <v>Warning</v>
      </c>
    </row>
    <row r="467" spans="1:30" x14ac:dyDescent="0.3">
      <c r="A467" t="s">
        <v>1505</v>
      </c>
      <c r="B467" s="2">
        <v>45320</v>
      </c>
      <c r="C467" s="2">
        <v>45328</v>
      </c>
      <c r="D467" t="s">
        <v>1506</v>
      </c>
      <c r="E467" t="s">
        <v>137</v>
      </c>
      <c r="F467" t="s">
        <v>46</v>
      </c>
      <c r="G467" t="s">
        <v>72</v>
      </c>
      <c r="H467" t="s">
        <v>81</v>
      </c>
      <c r="I467" t="s">
        <v>82</v>
      </c>
      <c r="J467" t="s">
        <v>37</v>
      </c>
      <c r="K467" t="s">
        <v>100</v>
      </c>
      <c r="L467" t="s">
        <v>1507</v>
      </c>
      <c r="M467" t="s">
        <v>68</v>
      </c>
      <c r="N467">
        <v>2</v>
      </c>
      <c r="O467">
        <v>1258.9000000000001</v>
      </c>
      <c r="P467" s="3">
        <v>0</v>
      </c>
      <c r="Q467">
        <v>2517.8000000000002</v>
      </c>
      <c r="R467">
        <v>1478.54</v>
      </c>
      <c r="S467">
        <v>1039.26</v>
      </c>
      <c r="T467" t="s">
        <v>41</v>
      </c>
      <c r="U467" t="s">
        <v>42</v>
      </c>
      <c r="V467" s="3">
        <f t="shared" si="63"/>
        <v>0</v>
      </c>
      <c r="W467">
        <f t="shared" si="64"/>
        <v>2517.8000000000002</v>
      </c>
      <c r="X467">
        <f t="shared" si="65"/>
        <v>1039.2600000000002</v>
      </c>
      <c r="Y467" s="4">
        <f t="shared" si="66"/>
        <v>0.41276511239971408</v>
      </c>
      <c r="Z467">
        <f t="shared" si="67"/>
        <v>8</v>
      </c>
      <c r="AA467">
        <f t="shared" si="68"/>
        <v>1</v>
      </c>
      <c r="AB467">
        <f t="shared" si="69"/>
        <v>2024</v>
      </c>
      <c r="AC467" t="str">
        <f t="shared" si="70"/>
        <v>Unique</v>
      </c>
      <c r="AD467" t="str">
        <f t="shared" si="71"/>
        <v>Clean</v>
      </c>
    </row>
    <row r="468" spans="1:30" x14ac:dyDescent="0.3">
      <c r="A468" t="s">
        <v>1508</v>
      </c>
      <c r="B468" s="2">
        <v>45295</v>
      </c>
      <c r="C468" s="2">
        <v>45299</v>
      </c>
      <c r="D468" t="s">
        <v>1509</v>
      </c>
      <c r="E468" t="s">
        <v>45</v>
      </c>
      <c r="F468" t="s">
        <v>46</v>
      </c>
      <c r="G468" t="s">
        <v>47</v>
      </c>
      <c r="H468" t="s">
        <v>154</v>
      </c>
      <c r="I468" t="s">
        <v>155</v>
      </c>
      <c r="J468" t="s">
        <v>83</v>
      </c>
      <c r="K468" t="s">
        <v>84</v>
      </c>
      <c r="L468" t="s">
        <v>1510</v>
      </c>
      <c r="M468" t="s">
        <v>53</v>
      </c>
      <c r="N468">
        <v>9</v>
      </c>
      <c r="O468">
        <v>1591.96</v>
      </c>
      <c r="P468" s="3">
        <v>0.2</v>
      </c>
      <c r="Q468">
        <v>11462.11</v>
      </c>
      <c r="R468">
        <v>7105.48</v>
      </c>
      <c r="S468">
        <v>4356.63</v>
      </c>
      <c r="T468" t="s">
        <v>41</v>
      </c>
      <c r="U468" t="s">
        <v>42</v>
      </c>
      <c r="V468" s="3">
        <f t="shared" si="63"/>
        <v>0.2</v>
      </c>
      <c r="W468">
        <f t="shared" si="64"/>
        <v>11462.112000000001</v>
      </c>
      <c r="X468">
        <f t="shared" si="65"/>
        <v>4356.6320000000014</v>
      </c>
      <c r="Y468" s="4">
        <f t="shared" si="66"/>
        <v>0.38008981241851425</v>
      </c>
      <c r="Z468">
        <f t="shared" si="67"/>
        <v>4</v>
      </c>
      <c r="AA468">
        <f t="shared" si="68"/>
        <v>1</v>
      </c>
      <c r="AB468">
        <f t="shared" si="69"/>
        <v>2024</v>
      </c>
      <c r="AC468" t="str">
        <f t="shared" si="70"/>
        <v>Unique</v>
      </c>
      <c r="AD468" t="str">
        <f t="shared" si="71"/>
        <v>Clean</v>
      </c>
    </row>
    <row r="469" spans="1:30" x14ac:dyDescent="0.3">
      <c r="A469" t="s">
        <v>1511</v>
      </c>
      <c r="B469" s="2">
        <v>45524</v>
      </c>
      <c r="C469" s="2">
        <v>45525</v>
      </c>
      <c r="D469" t="s">
        <v>1512</v>
      </c>
      <c r="E469" t="s">
        <v>98</v>
      </c>
      <c r="F469" t="s">
        <v>99</v>
      </c>
      <c r="G469" t="s">
        <v>47</v>
      </c>
      <c r="H469" t="s">
        <v>48</v>
      </c>
      <c r="I469" t="s">
        <v>49</v>
      </c>
      <c r="J469" t="s">
        <v>83</v>
      </c>
      <c r="K469" t="s">
        <v>89</v>
      </c>
      <c r="L469" t="s">
        <v>1513</v>
      </c>
      <c r="M469" t="s">
        <v>59</v>
      </c>
      <c r="N469">
        <v>5</v>
      </c>
      <c r="O469">
        <v>4288.33</v>
      </c>
      <c r="P469" s="3">
        <v>0.1</v>
      </c>
      <c r="Q469">
        <v>19297.490000000002</v>
      </c>
      <c r="R469">
        <v>15451.66</v>
      </c>
      <c r="S469">
        <v>3845.83</v>
      </c>
      <c r="T469" t="s">
        <v>111</v>
      </c>
      <c r="U469" t="s">
        <v>77</v>
      </c>
      <c r="V469" s="3">
        <f t="shared" si="63"/>
        <v>0.1</v>
      </c>
      <c r="W469">
        <f t="shared" si="64"/>
        <v>19297.485000000001</v>
      </c>
      <c r="X469">
        <f t="shared" si="65"/>
        <v>3845.8250000000007</v>
      </c>
      <c r="Y469" s="4">
        <f t="shared" si="66"/>
        <v>0.1992915138941681</v>
      </c>
      <c r="Z469">
        <f t="shared" si="67"/>
        <v>1</v>
      </c>
      <c r="AA469">
        <f t="shared" si="68"/>
        <v>8</v>
      </c>
      <c r="AB469">
        <f t="shared" si="69"/>
        <v>2024</v>
      </c>
      <c r="AC469" t="str">
        <f t="shared" si="70"/>
        <v>Unique</v>
      </c>
      <c r="AD469" t="str">
        <f t="shared" si="71"/>
        <v>Warning</v>
      </c>
    </row>
    <row r="470" spans="1:30" x14ac:dyDescent="0.3">
      <c r="A470" t="s">
        <v>1514</v>
      </c>
      <c r="B470" s="2">
        <v>45666</v>
      </c>
      <c r="C470" s="2">
        <v>45664</v>
      </c>
      <c r="D470" t="s">
        <v>1515</v>
      </c>
      <c r="E470" t="s">
        <v>137</v>
      </c>
      <c r="F470" t="s">
        <v>104</v>
      </c>
      <c r="G470" t="s">
        <v>47</v>
      </c>
      <c r="H470" t="s">
        <v>108</v>
      </c>
      <c r="I470" t="s">
        <v>109</v>
      </c>
      <c r="J470" t="s">
        <v>37</v>
      </c>
      <c r="K470" t="s">
        <v>162</v>
      </c>
      <c r="L470" t="s">
        <v>1516</v>
      </c>
      <c r="M470" t="s">
        <v>40</v>
      </c>
      <c r="N470">
        <v>3</v>
      </c>
      <c r="O470">
        <v>2188.33</v>
      </c>
      <c r="P470" s="3">
        <v>0</v>
      </c>
      <c r="Q470">
        <v>6564.99</v>
      </c>
      <c r="R470">
        <v>5407.24</v>
      </c>
      <c r="S470">
        <v>1157.75</v>
      </c>
      <c r="T470" t="s">
        <v>41</v>
      </c>
      <c r="U470" t="s">
        <v>42</v>
      </c>
      <c r="V470" s="3">
        <f t="shared" si="63"/>
        <v>0</v>
      </c>
      <c r="W470">
        <f t="shared" si="64"/>
        <v>6564.99</v>
      </c>
      <c r="X470">
        <f t="shared" si="65"/>
        <v>1157.75</v>
      </c>
      <c r="Y470" s="4">
        <f t="shared" si="66"/>
        <v>0.17635213458055535</v>
      </c>
      <c r="Z470">
        <f t="shared" si="67"/>
        <v>-2</v>
      </c>
      <c r="AA470">
        <f t="shared" si="68"/>
        <v>1</v>
      </c>
      <c r="AB470">
        <f t="shared" si="69"/>
        <v>2025</v>
      </c>
      <c r="AC470" t="str">
        <f t="shared" si="70"/>
        <v>Unique</v>
      </c>
      <c r="AD470" t="str">
        <f t="shared" si="71"/>
        <v>Invalid</v>
      </c>
    </row>
    <row r="471" spans="1:30" x14ac:dyDescent="0.3">
      <c r="A471" t="s">
        <v>1517</v>
      </c>
      <c r="B471" s="2">
        <v>45310</v>
      </c>
      <c r="C471" s="2">
        <v>45316</v>
      </c>
      <c r="D471" t="s">
        <v>1518</v>
      </c>
      <c r="E471" t="s">
        <v>98</v>
      </c>
      <c r="F471" t="s">
        <v>99</v>
      </c>
      <c r="G471" t="s">
        <v>72</v>
      </c>
      <c r="H471" t="s">
        <v>199</v>
      </c>
      <c r="I471" t="s">
        <v>200</v>
      </c>
      <c r="J471" t="s">
        <v>83</v>
      </c>
      <c r="K471" t="s">
        <v>89</v>
      </c>
      <c r="L471" t="s">
        <v>1519</v>
      </c>
      <c r="M471" t="s">
        <v>59</v>
      </c>
      <c r="N471">
        <v>3</v>
      </c>
      <c r="O471">
        <v>1041.6600000000001</v>
      </c>
      <c r="P471" s="3">
        <v>0.1</v>
      </c>
      <c r="Q471">
        <v>2812.48</v>
      </c>
      <c r="R471">
        <v>2282.12</v>
      </c>
      <c r="S471">
        <v>530.36</v>
      </c>
      <c r="T471" t="s">
        <v>41</v>
      </c>
      <c r="U471" t="s">
        <v>42</v>
      </c>
      <c r="V471" s="3">
        <f t="shared" si="63"/>
        <v>0.1</v>
      </c>
      <c r="W471">
        <f t="shared" si="64"/>
        <v>2812.4820000000004</v>
      </c>
      <c r="X471">
        <f t="shared" si="65"/>
        <v>530.36200000000053</v>
      </c>
      <c r="Y471" s="4">
        <f t="shared" si="66"/>
        <v>0.18857436243147527</v>
      </c>
      <c r="Z471">
        <f t="shared" si="67"/>
        <v>6</v>
      </c>
      <c r="AA471">
        <f t="shared" si="68"/>
        <v>1</v>
      </c>
      <c r="AB471">
        <f t="shared" si="69"/>
        <v>2024</v>
      </c>
      <c r="AC471" t="str">
        <f t="shared" si="70"/>
        <v>Unique</v>
      </c>
      <c r="AD471" t="str">
        <f t="shared" si="71"/>
        <v>Clean</v>
      </c>
    </row>
    <row r="472" spans="1:30" x14ac:dyDescent="0.3">
      <c r="A472" t="s">
        <v>1520</v>
      </c>
      <c r="B472" s="2">
        <v>45501</v>
      </c>
      <c r="C472" s="2">
        <v>45504</v>
      </c>
      <c r="D472" t="s">
        <v>1521</v>
      </c>
      <c r="E472" t="s">
        <v>98</v>
      </c>
      <c r="F472" t="s">
        <v>33</v>
      </c>
      <c r="G472" t="s">
        <v>34</v>
      </c>
      <c r="H472" t="s">
        <v>35</v>
      </c>
      <c r="I472" t="s">
        <v>36</v>
      </c>
      <c r="J472" t="s">
        <v>50</v>
      </c>
      <c r="K472" t="s">
        <v>51</v>
      </c>
      <c r="L472" t="s">
        <v>1522</v>
      </c>
      <c r="M472" t="s">
        <v>53</v>
      </c>
      <c r="N472">
        <v>2</v>
      </c>
      <c r="O472">
        <v>4424.78</v>
      </c>
      <c r="P472" s="3">
        <v>0.2</v>
      </c>
      <c r="Q472">
        <v>7079.65</v>
      </c>
      <c r="R472">
        <v>4465.91</v>
      </c>
      <c r="S472">
        <v>2613.7399999999998</v>
      </c>
      <c r="T472" t="s">
        <v>41</v>
      </c>
      <c r="U472" t="s">
        <v>42</v>
      </c>
      <c r="V472" s="3">
        <f t="shared" si="63"/>
        <v>0.2</v>
      </c>
      <c r="W472">
        <f t="shared" si="64"/>
        <v>7079.6480000000001</v>
      </c>
      <c r="X472">
        <f t="shared" si="65"/>
        <v>2613.7380000000003</v>
      </c>
      <c r="Y472" s="4">
        <f t="shared" si="66"/>
        <v>0.36919038912669105</v>
      </c>
      <c r="Z472">
        <f t="shared" si="67"/>
        <v>3</v>
      </c>
      <c r="AA472">
        <f t="shared" si="68"/>
        <v>7</v>
      </c>
      <c r="AB472">
        <f t="shared" si="69"/>
        <v>2024</v>
      </c>
      <c r="AC472" t="str">
        <f t="shared" si="70"/>
        <v>Unique</v>
      </c>
      <c r="AD472" t="str">
        <f t="shared" si="71"/>
        <v>Clean</v>
      </c>
    </row>
    <row r="473" spans="1:30" x14ac:dyDescent="0.3">
      <c r="A473" t="s">
        <v>1523</v>
      </c>
      <c r="B473" s="2">
        <v>45333</v>
      </c>
      <c r="C473" s="2">
        <v>45337</v>
      </c>
      <c r="D473" t="s">
        <v>1524</v>
      </c>
      <c r="E473" t="s">
        <v>274</v>
      </c>
      <c r="F473" t="s">
        <v>33</v>
      </c>
      <c r="G473" t="s">
        <v>63</v>
      </c>
      <c r="H473" t="s">
        <v>64</v>
      </c>
      <c r="I473" t="s">
        <v>65</v>
      </c>
      <c r="J473" t="s">
        <v>37</v>
      </c>
      <c r="K473" t="s">
        <v>162</v>
      </c>
      <c r="L473" t="s">
        <v>1525</v>
      </c>
      <c r="M473" t="s">
        <v>68</v>
      </c>
      <c r="N473">
        <v>3</v>
      </c>
      <c r="O473">
        <v>3019.14</v>
      </c>
      <c r="P473" s="3">
        <v>0.25</v>
      </c>
      <c r="Q473">
        <v>6793.07</v>
      </c>
      <c r="R473">
        <v>4985.22</v>
      </c>
      <c r="S473">
        <v>1807.85</v>
      </c>
      <c r="T473" t="s">
        <v>41</v>
      </c>
      <c r="U473" t="s">
        <v>42</v>
      </c>
      <c r="V473" s="3">
        <f t="shared" si="63"/>
        <v>0.25</v>
      </c>
      <c r="W473">
        <f t="shared" si="64"/>
        <v>6793.0650000000005</v>
      </c>
      <c r="X473">
        <f t="shared" si="65"/>
        <v>1807.8450000000003</v>
      </c>
      <c r="Y473" s="4">
        <f t="shared" si="66"/>
        <v>0.26613097327936652</v>
      </c>
      <c r="Z473">
        <f t="shared" si="67"/>
        <v>4</v>
      </c>
      <c r="AA473">
        <f t="shared" si="68"/>
        <v>2</v>
      </c>
      <c r="AB473">
        <f t="shared" si="69"/>
        <v>2024</v>
      </c>
      <c r="AC473" t="str">
        <f t="shared" si="70"/>
        <v>Unique</v>
      </c>
      <c r="AD473" t="str">
        <f t="shared" si="71"/>
        <v>Clean</v>
      </c>
    </row>
    <row r="474" spans="1:30" x14ac:dyDescent="0.3">
      <c r="A474" t="s">
        <v>1526</v>
      </c>
      <c r="B474" s="2">
        <v>45353</v>
      </c>
      <c r="C474" s="2">
        <v>45358</v>
      </c>
      <c r="D474" t="s">
        <v>1527</v>
      </c>
      <c r="E474" t="s">
        <v>150</v>
      </c>
      <c r="F474" t="s">
        <v>99</v>
      </c>
      <c r="G474" t="s">
        <v>47</v>
      </c>
      <c r="H474" t="s">
        <v>48</v>
      </c>
      <c r="I474" t="s">
        <v>49</v>
      </c>
      <c r="J474" t="s">
        <v>37</v>
      </c>
      <c r="K474" t="s">
        <v>133</v>
      </c>
      <c r="L474" t="s">
        <v>1528</v>
      </c>
      <c r="M474" t="s">
        <v>68</v>
      </c>
      <c r="N474">
        <v>7</v>
      </c>
      <c r="O474">
        <v>263.45999999999998</v>
      </c>
      <c r="P474" s="3">
        <v>0</v>
      </c>
      <c r="Q474">
        <v>1844.22</v>
      </c>
      <c r="R474">
        <v>1094.21</v>
      </c>
      <c r="S474">
        <v>750.01</v>
      </c>
      <c r="T474" t="s">
        <v>41</v>
      </c>
      <c r="U474" t="s">
        <v>42</v>
      </c>
      <c r="V474" s="3">
        <f t="shared" si="63"/>
        <v>0</v>
      </c>
      <c r="W474">
        <f t="shared" si="64"/>
        <v>1844.2199999999998</v>
      </c>
      <c r="X474">
        <f t="shared" si="65"/>
        <v>750.00999999999976</v>
      </c>
      <c r="Y474" s="4">
        <f t="shared" si="66"/>
        <v>0.40668141544934977</v>
      </c>
      <c r="Z474">
        <f t="shared" si="67"/>
        <v>5</v>
      </c>
      <c r="AA474">
        <f t="shared" si="68"/>
        <v>3</v>
      </c>
      <c r="AB474">
        <f t="shared" si="69"/>
        <v>2024</v>
      </c>
      <c r="AC474" t="str">
        <f t="shared" si="70"/>
        <v>Unique</v>
      </c>
      <c r="AD474" t="str">
        <f t="shared" si="71"/>
        <v>Clean</v>
      </c>
    </row>
    <row r="475" spans="1:30" x14ac:dyDescent="0.3">
      <c r="A475" t="s">
        <v>1529</v>
      </c>
      <c r="B475" s="2">
        <v>45609</v>
      </c>
      <c r="C475" s="2">
        <v>45609</v>
      </c>
      <c r="D475" t="s">
        <v>1530</v>
      </c>
      <c r="E475" t="s">
        <v>123</v>
      </c>
      <c r="F475" t="s">
        <v>33</v>
      </c>
      <c r="G475" t="s">
        <v>72</v>
      </c>
      <c r="H475" t="s">
        <v>199</v>
      </c>
      <c r="I475" t="s">
        <v>200</v>
      </c>
      <c r="J475" t="s">
        <v>83</v>
      </c>
      <c r="K475" t="s">
        <v>89</v>
      </c>
      <c r="L475" t="s">
        <v>1531</v>
      </c>
      <c r="M475" t="s">
        <v>68</v>
      </c>
      <c r="N475">
        <v>6</v>
      </c>
      <c r="O475">
        <v>191.45</v>
      </c>
      <c r="P475" s="3">
        <v>0.2</v>
      </c>
      <c r="Q475">
        <v>918.96</v>
      </c>
      <c r="R475">
        <v>554.17999999999995</v>
      </c>
      <c r="S475">
        <v>364.78</v>
      </c>
      <c r="T475" t="s">
        <v>41</v>
      </c>
      <c r="U475" t="s">
        <v>42</v>
      </c>
      <c r="V475" s="3">
        <f t="shared" si="63"/>
        <v>0.2</v>
      </c>
      <c r="W475">
        <f t="shared" si="64"/>
        <v>918.95999999999992</v>
      </c>
      <c r="X475">
        <f t="shared" si="65"/>
        <v>364.78</v>
      </c>
      <c r="Y475" s="4">
        <f t="shared" si="66"/>
        <v>0.39694872464525116</v>
      </c>
      <c r="Z475">
        <f t="shared" si="67"/>
        <v>0</v>
      </c>
      <c r="AA475">
        <f t="shared" si="68"/>
        <v>11</v>
      </c>
      <c r="AB475">
        <f t="shared" si="69"/>
        <v>2024</v>
      </c>
      <c r="AC475" t="str">
        <f t="shared" si="70"/>
        <v>Unique</v>
      </c>
      <c r="AD475" t="str">
        <f t="shared" si="71"/>
        <v>Clean</v>
      </c>
    </row>
    <row r="476" spans="1:30" x14ac:dyDescent="0.3">
      <c r="A476" t="s">
        <v>1532</v>
      </c>
      <c r="B476" s="2">
        <v>45446</v>
      </c>
      <c r="C476" s="2">
        <v>45453</v>
      </c>
      <c r="D476" t="s">
        <v>1533</v>
      </c>
      <c r="E476" t="s">
        <v>171</v>
      </c>
      <c r="F476" t="s">
        <v>99</v>
      </c>
      <c r="G476" t="s">
        <v>34</v>
      </c>
      <c r="H476" t="s">
        <v>131</v>
      </c>
      <c r="I476" t="s">
        <v>132</v>
      </c>
      <c r="J476" t="s">
        <v>50</v>
      </c>
      <c r="K476" t="s">
        <v>66</v>
      </c>
      <c r="L476" t="s">
        <v>1534</v>
      </c>
      <c r="M476" t="s">
        <v>68</v>
      </c>
      <c r="N476">
        <v>3</v>
      </c>
      <c r="O476">
        <v>1633.57</v>
      </c>
      <c r="P476" s="3">
        <v>0</v>
      </c>
      <c r="Q476">
        <v>4900.71</v>
      </c>
      <c r="R476">
        <v>2713.9</v>
      </c>
      <c r="S476">
        <v>2186.81</v>
      </c>
      <c r="T476" t="s">
        <v>41</v>
      </c>
      <c r="U476" t="s">
        <v>42</v>
      </c>
      <c r="V476" s="3">
        <f t="shared" si="63"/>
        <v>0</v>
      </c>
      <c r="W476">
        <f t="shared" si="64"/>
        <v>4900.71</v>
      </c>
      <c r="X476">
        <f t="shared" si="65"/>
        <v>2186.81</v>
      </c>
      <c r="Y476" s="4">
        <f t="shared" si="66"/>
        <v>0.44622309828575857</v>
      </c>
      <c r="Z476">
        <f t="shared" si="67"/>
        <v>7</v>
      </c>
      <c r="AA476">
        <f t="shared" si="68"/>
        <v>6</v>
      </c>
      <c r="AB476">
        <f t="shared" si="69"/>
        <v>2024</v>
      </c>
      <c r="AC476" t="str">
        <f t="shared" si="70"/>
        <v>Unique</v>
      </c>
      <c r="AD476" t="str">
        <f t="shared" si="71"/>
        <v>Clean</v>
      </c>
    </row>
    <row r="477" spans="1:30" x14ac:dyDescent="0.3">
      <c r="A477" t="s">
        <v>1535</v>
      </c>
      <c r="B477" s="2">
        <v>45717</v>
      </c>
      <c r="C477" s="2">
        <v>45724</v>
      </c>
      <c r="D477" t="s">
        <v>1536</v>
      </c>
      <c r="E477" t="s">
        <v>80</v>
      </c>
      <c r="F477" t="s">
        <v>33</v>
      </c>
      <c r="G477" t="s">
        <v>47</v>
      </c>
      <c r="H477" t="s">
        <v>108</v>
      </c>
      <c r="I477" t="s">
        <v>109</v>
      </c>
      <c r="J477" t="s">
        <v>50</v>
      </c>
      <c r="K477" t="s">
        <v>75</v>
      </c>
      <c r="L477" t="s">
        <v>1537</v>
      </c>
      <c r="M477" t="s">
        <v>53</v>
      </c>
      <c r="N477">
        <v>8</v>
      </c>
      <c r="O477">
        <v>3378.82</v>
      </c>
      <c r="P477" s="3">
        <v>0.25</v>
      </c>
      <c r="Q477">
        <v>20272.919999999998</v>
      </c>
      <c r="R477">
        <v>15873.38</v>
      </c>
      <c r="S477">
        <v>4399.54</v>
      </c>
      <c r="T477" t="s">
        <v>120</v>
      </c>
      <c r="U477" t="s">
        <v>112</v>
      </c>
      <c r="V477" s="3">
        <f t="shared" si="63"/>
        <v>0.25</v>
      </c>
      <c r="W477">
        <f t="shared" si="64"/>
        <v>20272.920000000002</v>
      </c>
      <c r="X477">
        <f t="shared" si="65"/>
        <v>4399.5400000000027</v>
      </c>
      <c r="Y477" s="4">
        <f t="shared" si="66"/>
        <v>0.21701560505344086</v>
      </c>
      <c r="Z477">
        <f t="shared" si="67"/>
        <v>7</v>
      </c>
      <c r="AA477">
        <f t="shared" si="68"/>
        <v>3</v>
      </c>
      <c r="AB477">
        <f t="shared" si="69"/>
        <v>2025</v>
      </c>
      <c r="AC477" t="str">
        <f t="shared" si="70"/>
        <v>Unique</v>
      </c>
      <c r="AD477" t="str">
        <f t="shared" si="71"/>
        <v>Clean</v>
      </c>
    </row>
    <row r="478" spans="1:30" x14ac:dyDescent="0.3">
      <c r="A478" t="s">
        <v>1538</v>
      </c>
      <c r="B478" s="2">
        <v>45419</v>
      </c>
      <c r="C478" s="2">
        <v>45426</v>
      </c>
      <c r="D478" t="s">
        <v>1539</v>
      </c>
      <c r="E478" t="s">
        <v>141</v>
      </c>
      <c r="F478" t="s">
        <v>46</v>
      </c>
      <c r="G478" t="s">
        <v>34</v>
      </c>
      <c r="H478" t="s">
        <v>35</v>
      </c>
      <c r="I478" t="s">
        <v>36</v>
      </c>
      <c r="J478" t="s">
        <v>37</v>
      </c>
      <c r="K478" t="s">
        <v>133</v>
      </c>
      <c r="L478" t="s">
        <v>1540</v>
      </c>
      <c r="M478" t="s">
        <v>59</v>
      </c>
      <c r="N478">
        <v>3</v>
      </c>
      <c r="O478">
        <v>383.58</v>
      </c>
      <c r="P478" s="3">
        <v>0.1</v>
      </c>
      <c r="Q478">
        <v>1035.67</v>
      </c>
      <c r="R478">
        <v>595.41999999999996</v>
      </c>
      <c r="S478">
        <v>440.25</v>
      </c>
      <c r="T478" t="s">
        <v>41</v>
      </c>
      <c r="U478" t="s">
        <v>42</v>
      </c>
      <c r="V478" s="3">
        <f t="shared" si="63"/>
        <v>0.1</v>
      </c>
      <c r="W478">
        <f t="shared" si="64"/>
        <v>1035.6659999999999</v>
      </c>
      <c r="X478">
        <f t="shared" si="65"/>
        <v>440.24599999999998</v>
      </c>
      <c r="Y478" s="4">
        <f t="shared" si="66"/>
        <v>0.42508492120046426</v>
      </c>
      <c r="Z478">
        <f t="shared" si="67"/>
        <v>7</v>
      </c>
      <c r="AA478">
        <f t="shared" si="68"/>
        <v>5</v>
      </c>
      <c r="AB478">
        <f t="shared" si="69"/>
        <v>2024</v>
      </c>
      <c r="AC478" t="str">
        <f t="shared" si="70"/>
        <v>Unique</v>
      </c>
      <c r="AD478" t="str">
        <f t="shared" si="71"/>
        <v>Clean</v>
      </c>
    </row>
    <row r="479" spans="1:30" x14ac:dyDescent="0.3">
      <c r="A479" t="s">
        <v>1541</v>
      </c>
      <c r="B479" s="2">
        <v>45892</v>
      </c>
      <c r="C479" s="2">
        <v>45897</v>
      </c>
      <c r="D479" t="s">
        <v>1542</v>
      </c>
      <c r="E479" t="s">
        <v>80</v>
      </c>
      <c r="F479" t="s">
        <v>99</v>
      </c>
      <c r="G479" t="s">
        <v>72</v>
      </c>
      <c r="H479" t="s">
        <v>189</v>
      </c>
      <c r="I479" t="s">
        <v>190</v>
      </c>
      <c r="J479" t="s">
        <v>50</v>
      </c>
      <c r="K479" t="s">
        <v>75</v>
      </c>
      <c r="L479" t="s">
        <v>1543</v>
      </c>
      <c r="M479" t="s">
        <v>68</v>
      </c>
      <c r="N479">
        <v>6</v>
      </c>
      <c r="O479">
        <v>2193.23</v>
      </c>
      <c r="P479" s="3">
        <v>0.1</v>
      </c>
      <c r="Q479">
        <v>11843.44</v>
      </c>
      <c r="R479">
        <v>9356.8799999999992</v>
      </c>
      <c r="S479">
        <v>2486.56</v>
      </c>
      <c r="T479" t="s">
        <v>41</v>
      </c>
      <c r="U479" t="s">
        <v>77</v>
      </c>
      <c r="V479" s="3">
        <f t="shared" si="63"/>
        <v>0.1</v>
      </c>
      <c r="W479">
        <f t="shared" si="64"/>
        <v>11843.442000000001</v>
      </c>
      <c r="X479">
        <f t="shared" si="65"/>
        <v>2486.5620000000017</v>
      </c>
      <c r="Y479" s="4">
        <f t="shared" si="66"/>
        <v>0.20995264721184953</v>
      </c>
      <c r="Z479">
        <f t="shared" si="67"/>
        <v>5</v>
      </c>
      <c r="AA479">
        <f t="shared" si="68"/>
        <v>8</v>
      </c>
      <c r="AB479">
        <f t="shared" si="69"/>
        <v>2025</v>
      </c>
      <c r="AC479" t="str">
        <f t="shared" si="70"/>
        <v>Unique</v>
      </c>
      <c r="AD479" t="str">
        <f t="shared" si="71"/>
        <v>Warning</v>
      </c>
    </row>
    <row r="480" spans="1:30" x14ac:dyDescent="0.3">
      <c r="A480" t="s">
        <v>1544</v>
      </c>
      <c r="B480" s="2">
        <v>45452</v>
      </c>
      <c r="C480" s="2">
        <v>45456</v>
      </c>
      <c r="D480" t="s">
        <v>1545</v>
      </c>
      <c r="E480" t="s">
        <v>45</v>
      </c>
      <c r="F480" t="s">
        <v>104</v>
      </c>
      <c r="G480" t="s">
        <v>214</v>
      </c>
      <c r="H480" t="s">
        <v>145</v>
      </c>
      <c r="I480" t="s">
        <v>146</v>
      </c>
      <c r="J480" t="s">
        <v>83</v>
      </c>
      <c r="K480" t="s">
        <v>284</v>
      </c>
      <c r="L480" t="s">
        <v>1546</v>
      </c>
      <c r="M480" t="s">
        <v>53</v>
      </c>
      <c r="N480">
        <v>7</v>
      </c>
      <c r="O480">
        <v>4079.71</v>
      </c>
      <c r="P480" s="3">
        <v>0.1</v>
      </c>
      <c r="Q480">
        <v>25702.17</v>
      </c>
      <c r="R480">
        <v>14571.48</v>
      </c>
      <c r="S480">
        <v>11130.69</v>
      </c>
      <c r="T480" t="s">
        <v>111</v>
      </c>
      <c r="U480" t="s">
        <v>112</v>
      </c>
      <c r="V480" s="3">
        <f t="shared" si="63"/>
        <v>0.1</v>
      </c>
      <c r="W480">
        <f t="shared" si="64"/>
        <v>25702.173000000003</v>
      </c>
      <c r="X480">
        <f t="shared" si="65"/>
        <v>11130.693000000003</v>
      </c>
      <c r="Y480" s="4">
        <f t="shared" si="66"/>
        <v>0.43306427826160854</v>
      </c>
      <c r="Z480">
        <f t="shared" si="67"/>
        <v>4</v>
      </c>
      <c r="AA480">
        <f t="shared" si="68"/>
        <v>6</v>
      </c>
      <c r="AB480">
        <f t="shared" si="69"/>
        <v>2024</v>
      </c>
      <c r="AC480" t="str">
        <f t="shared" si="70"/>
        <v>Unique</v>
      </c>
      <c r="AD480" t="str">
        <f t="shared" si="71"/>
        <v>Warning</v>
      </c>
    </row>
    <row r="481" spans="1:30" x14ac:dyDescent="0.3">
      <c r="A481" t="s">
        <v>1547</v>
      </c>
      <c r="B481" s="2">
        <v>45345</v>
      </c>
      <c r="C481" s="2">
        <v>45342</v>
      </c>
      <c r="D481" t="s">
        <v>1548</v>
      </c>
      <c r="E481" t="s">
        <v>62</v>
      </c>
      <c r="F481" t="s">
        <v>99</v>
      </c>
      <c r="G481" t="s">
        <v>47</v>
      </c>
      <c r="H481" t="s">
        <v>48</v>
      </c>
      <c r="I481" t="s">
        <v>49</v>
      </c>
      <c r="J481" t="s">
        <v>50</v>
      </c>
      <c r="K481" t="s">
        <v>75</v>
      </c>
      <c r="L481" t="s">
        <v>1549</v>
      </c>
      <c r="M481" t="s">
        <v>40</v>
      </c>
      <c r="N481">
        <v>1</v>
      </c>
      <c r="O481">
        <v>2202.5500000000002</v>
      </c>
      <c r="P481" s="3"/>
      <c r="Q481">
        <v>1651.91</v>
      </c>
      <c r="R481">
        <v>1034.57</v>
      </c>
      <c r="S481">
        <v>617.34</v>
      </c>
      <c r="T481" t="s">
        <v>41</v>
      </c>
      <c r="U481" t="s">
        <v>42</v>
      </c>
      <c r="V481" s="3">
        <f t="shared" si="63"/>
        <v>0</v>
      </c>
      <c r="W481">
        <f t="shared" si="64"/>
        <v>2202.5500000000002</v>
      </c>
      <c r="X481">
        <f t="shared" si="65"/>
        <v>1167.9800000000002</v>
      </c>
      <c r="Y481" s="4">
        <f t="shared" si="66"/>
        <v>0.53028535107035035</v>
      </c>
      <c r="Z481">
        <f t="shared" si="67"/>
        <v>-3</v>
      </c>
      <c r="AA481">
        <f t="shared" si="68"/>
        <v>2</v>
      </c>
      <c r="AB481">
        <f t="shared" si="69"/>
        <v>2024</v>
      </c>
      <c r="AC481" t="str">
        <f t="shared" si="70"/>
        <v>Unique</v>
      </c>
      <c r="AD481" t="str">
        <f t="shared" si="71"/>
        <v>Invalid</v>
      </c>
    </row>
    <row r="482" spans="1:30" x14ac:dyDescent="0.3">
      <c r="A482" t="s">
        <v>1550</v>
      </c>
      <c r="B482" s="2">
        <v>45662</v>
      </c>
      <c r="C482" s="2">
        <v>45666</v>
      </c>
      <c r="D482" t="s">
        <v>1551</v>
      </c>
      <c r="E482" t="s">
        <v>88</v>
      </c>
      <c r="F482" t="s">
        <v>46</v>
      </c>
      <c r="G482" t="s">
        <v>63</v>
      </c>
      <c r="H482" t="s">
        <v>257</v>
      </c>
      <c r="I482" t="s">
        <v>258</v>
      </c>
      <c r="J482" t="s">
        <v>37</v>
      </c>
      <c r="K482" t="s">
        <v>133</v>
      </c>
      <c r="L482" t="s">
        <v>1552</v>
      </c>
      <c r="M482" t="s">
        <v>214</v>
      </c>
      <c r="N482">
        <v>5</v>
      </c>
      <c r="O482">
        <v>905.16</v>
      </c>
      <c r="P482" s="3">
        <v>0</v>
      </c>
      <c r="Q482">
        <v>4525.8</v>
      </c>
      <c r="R482">
        <v>2714.51</v>
      </c>
      <c r="S482">
        <v>1811.29</v>
      </c>
      <c r="T482" t="s">
        <v>41</v>
      </c>
      <c r="U482" t="s">
        <v>42</v>
      </c>
      <c r="V482" s="3">
        <f t="shared" si="63"/>
        <v>0</v>
      </c>
      <c r="W482">
        <f t="shared" si="64"/>
        <v>4525.8</v>
      </c>
      <c r="X482">
        <f t="shared" si="65"/>
        <v>1811.29</v>
      </c>
      <c r="Y482" s="4">
        <f t="shared" si="66"/>
        <v>0.40021432674886204</v>
      </c>
      <c r="Z482">
        <f t="shared" si="67"/>
        <v>4</v>
      </c>
      <c r="AA482">
        <f t="shared" si="68"/>
        <v>1</v>
      </c>
      <c r="AB482">
        <f t="shared" si="69"/>
        <v>2025</v>
      </c>
      <c r="AC482" t="str">
        <f t="shared" si="70"/>
        <v>Unique</v>
      </c>
      <c r="AD482" t="str">
        <f t="shared" si="71"/>
        <v>Warning</v>
      </c>
    </row>
    <row r="483" spans="1:30" x14ac:dyDescent="0.3">
      <c r="A483" t="s">
        <v>1553</v>
      </c>
      <c r="B483" s="2">
        <v>45813</v>
      </c>
      <c r="C483" s="2">
        <v>45821</v>
      </c>
      <c r="D483" t="s">
        <v>1554</v>
      </c>
      <c r="E483" t="s">
        <v>56</v>
      </c>
      <c r="F483" t="s">
        <v>33</v>
      </c>
      <c r="G483" t="s">
        <v>34</v>
      </c>
      <c r="H483" t="s">
        <v>145</v>
      </c>
      <c r="I483" t="s">
        <v>146</v>
      </c>
      <c r="J483" t="s">
        <v>83</v>
      </c>
      <c r="K483" t="s">
        <v>284</v>
      </c>
      <c r="L483" t="s">
        <v>1555</v>
      </c>
      <c r="M483" t="s">
        <v>53</v>
      </c>
      <c r="N483">
        <v>4</v>
      </c>
      <c r="O483">
        <v>2793.88</v>
      </c>
      <c r="P483" s="3" t="s">
        <v>777</v>
      </c>
      <c r="Q483">
        <v>10616.74</v>
      </c>
      <c r="R483">
        <v>6353.59</v>
      </c>
      <c r="S483">
        <v>4263.1499999999996</v>
      </c>
      <c r="T483" t="s">
        <v>41</v>
      </c>
      <c r="U483" t="s">
        <v>42</v>
      </c>
      <c r="V483" s="3">
        <f t="shared" si="63"/>
        <v>0.85</v>
      </c>
      <c r="W483">
        <f t="shared" si="64"/>
        <v>1676.3280000000002</v>
      </c>
      <c r="X483">
        <f t="shared" si="65"/>
        <v>-4677.2619999999997</v>
      </c>
      <c r="Y483" s="4">
        <f t="shared" si="66"/>
        <v>-2.7901830667983827</v>
      </c>
      <c r="Z483">
        <f t="shared" si="67"/>
        <v>8</v>
      </c>
      <c r="AA483">
        <f t="shared" si="68"/>
        <v>6</v>
      </c>
      <c r="AB483">
        <f t="shared" si="69"/>
        <v>2025</v>
      </c>
      <c r="AC483" t="str">
        <f t="shared" si="70"/>
        <v>Unique</v>
      </c>
      <c r="AD483" t="str">
        <f t="shared" si="71"/>
        <v>Invalid</v>
      </c>
    </row>
    <row r="484" spans="1:30" x14ac:dyDescent="0.3">
      <c r="A484" t="s">
        <v>1556</v>
      </c>
      <c r="B484" s="2">
        <v>45495</v>
      </c>
      <c r="C484" s="2">
        <v>45495</v>
      </c>
      <c r="D484" t="s">
        <v>1557</v>
      </c>
      <c r="E484" t="s">
        <v>123</v>
      </c>
      <c r="F484" t="s">
        <v>33</v>
      </c>
      <c r="G484" t="s">
        <v>63</v>
      </c>
      <c r="H484" t="s">
        <v>184</v>
      </c>
      <c r="I484" t="s">
        <v>185</v>
      </c>
      <c r="J484" t="s">
        <v>83</v>
      </c>
      <c r="K484" t="s">
        <v>84</v>
      </c>
      <c r="L484" t="s">
        <v>1558</v>
      </c>
      <c r="M484" t="s">
        <v>40</v>
      </c>
      <c r="N484">
        <v>3</v>
      </c>
      <c r="O484">
        <v>1286.22</v>
      </c>
      <c r="P484" s="3">
        <v>0.25</v>
      </c>
      <c r="Q484">
        <v>2893.99</v>
      </c>
      <c r="R484">
        <v>1856.03</v>
      </c>
      <c r="S484">
        <v>1037.96</v>
      </c>
      <c r="T484" t="s">
        <v>41</v>
      </c>
      <c r="U484" t="s">
        <v>42</v>
      </c>
      <c r="V484" s="3">
        <f t="shared" si="63"/>
        <v>0.25</v>
      </c>
      <c r="W484">
        <f t="shared" si="64"/>
        <v>2893.9949999999999</v>
      </c>
      <c r="X484">
        <f t="shared" si="65"/>
        <v>1037.9649999999999</v>
      </c>
      <c r="Y484" s="4">
        <f t="shared" si="66"/>
        <v>0.35866164247001114</v>
      </c>
      <c r="Z484">
        <f t="shared" si="67"/>
        <v>0</v>
      </c>
      <c r="AA484">
        <f t="shared" si="68"/>
        <v>7</v>
      </c>
      <c r="AB484">
        <f t="shared" si="69"/>
        <v>2024</v>
      </c>
      <c r="AC484" t="str">
        <f t="shared" si="70"/>
        <v>Unique</v>
      </c>
      <c r="AD484" t="str">
        <f t="shared" si="71"/>
        <v>Clean</v>
      </c>
    </row>
    <row r="485" spans="1:30" x14ac:dyDescent="0.3">
      <c r="A485" t="s">
        <v>1559</v>
      </c>
      <c r="B485" s="2">
        <v>45651</v>
      </c>
      <c r="C485" s="2">
        <v>45651</v>
      </c>
      <c r="D485" t="s">
        <v>1560</v>
      </c>
      <c r="E485" t="s">
        <v>45</v>
      </c>
      <c r="F485" t="s">
        <v>99</v>
      </c>
      <c r="G485" t="s">
        <v>47</v>
      </c>
      <c r="H485" t="s">
        <v>154</v>
      </c>
      <c r="I485" t="s">
        <v>155</v>
      </c>
      <c r="J485" t="s">
        <v>83</v>
      </c>
      <c r="K485" t="s">
        <v>89</v>
      </c>
      <c r="L485" t="s">
        <v>1561</v>
      </c>
      <c r="M485" t="s">
        <v>68</v>
      </c>
      <c r="N485">
        <v>1</v>
      </c>
      <c r="O485">
        <v>829.66</v>
      </c>
      <c r="P485" s="3">
        <v>0.15</v>
      </c>
      <c r="Q485">
        <v>705.21</v>
      </c>
      <c r="R485">
        <v>438.32</v>
      </c>
      <c r="S485">
        <v>266.89</v>
      </c>
      <c r="T485" t="s">
        <v>41</v>
      </c>
      <c r="U485" t="s">
        <v>42</v>
      </c>
      <c r="V485" s="3">
        <f t="shared" si="63"/>
        <v>0.15</v>
      </c>
      <c r="W485">
        <f t="shared" si="64"/>
        <v>705.2109999999999</v>
      </c>
      <c r="X485">
        <f t="shared" si="65"/>
        <v>266.89099999999991</v>
      </c>
      <c r="Y485" s="4">
        <f t="shared" si="66"/>
        <v>0.37845552607659261</v>
      </c>
      <c r="Z485">
        <f t="shared" si="67"/>
        <v>0</v>
      </c>
      <c r="AA485">
        <f t="shared" si="68"/>
        <v>12</v>
      </c>
      <c r="AB485">
        <f t="shared" si="69"/>
        <v>2024</v>
      </c>
      <c r="AC485" t="str">
        <f t="shared" si="70"/>
        <v>Unique</v>
      </c>
      <c r="AD485" t="str">
        <f t="shared" si="71"/>
        <v>Clean</v>
      </c>
    </row>
    <row r="486" spans="1:30" x14ac:dyDescent="0.3">
      <c r="A486" t="s">
        <v>1562</v>
      </c>
      <c r="B486" s="2">
        <v>45654</v>
      </c>
      <c r="C486" s="2">
        <v>45657</v>
      </c>
      <c r="D486" t="s">
        <v>1563</v>
      </c>
      <c r="E486" t="s">
        <v>45</v>
      </c>
      <c r="F486" t="s">
        <v>46</v>
      </c>
      <c r="G486" t="s">
        <v>63</v>
      </c>
      <c r="H486" t="s">
        <v>93</v>
      </c>
      <c r="I486" t="s">
        <v>94</v>
      </c>
      <c r="J486" t="s">
        <v>50</v>
      </c>
      <c r="K486" t="s">
        <v>66</v>
      </c>
      <c r="L486" t="s">
        <v>1564</v>
      </c>
      <c r="M486" t="s">
        <v>59</v>
      </c>
      <c r="N486">
        <v>6</v>
      </c>
      <c r="O486">
        <v>3641.22</v>
      </c>
      <c r="P486" s="3">
        <v>0.25</v>
      </c>
      <c r="Q486">
        <v>16385.490000000002</v>
      </c>
      <c r="R486">
        <v>13679.24</v>
      </c>
      <c r="S486">
        <v>2706.25</v>
      </c>
      <c r="T486" t="s">
        <v>41</v>
      </c>
      <c r="U486" t="s">
        <v>42</v>
      </c>
      <c r="V486" s="3">
        <f t="shared" si="63"/>
        <v>0.25</v>
      </c>
      <c r="W486">
        <f t="shared" si="64"/>
        <v>16385.489999999998</v>
      </c>
      <c r="X486">
        <f t="shared" si="65"/>
        <v>2706.2499999999982</v>
      </c>
      <c r="Y486" s="4">
        <f t="shared" si="66"/>
        <v>0.16516137143289572</v>
      </c>
      <c r="Z486">
        <f t="shared" si="67"/>
        <v>3</v>
      </c>
      <c r="AA486">
        <f t="shared" si="68"/>
        <v>12</v>
      </c>
      <c r="AB486">
        <f t="shared" si="69"/>
        <v>2024</v>
      </c>
      <c r="AC486" t="str">
        <f t="shared" si="70"/>
        <v>Unique</v>
      </c>
      <c r="AD486" t="str">
        <f t="shared" si="71"/>
        <v>Clean</v>
      </c>
    </row>
    <row r="487" spans="1:30" x14ac:dyDescent="0.3">
      <c r="A487" t="s">
        <v>1565</v>
      </c>
      <c r="B487" s="2">
        <v>45679</v>
      </c>
      <c r="C487" s="2">
        <v>45680</v>
      </c>
      <c r="D487" t="s">
        <v>1566</v>
      </c>
      <c r="E487" t="s">
        <v>127</v>
      </c>
      <c r="F487" t="s">
        <v>99</v>
      </c>
      <c r="G487" t="s">
        <v>72</v>
      </c>
      <c r="H487" t="s">
        <v>199</v>
      </c>
      <c r="I487" t="s">
        <v>200</v>
      </c>
      <c r="J487" t="s">
        <v>50</v>
      </c>
      <c r="K487" t="s">
        <v>167</v>
      </c>
      <c r="L487" t="s">
        <v>1567</v>
      </c>
      <c r="M487" t="s">
        <v>68</v>
      </c>
      <c r="N487">
        <v>4</v>
      </c>
      <c r="O487">
        <v>2555.19</v>
      </c>
      <c r="P487" s="3">
        <v>0.25</v>
      </c>
      <c r="Q487">
        <v>7665.57</v>
      </c>
      <c r="R487">
        <v>5595.6</v>
      </c>
      <c r="S487">
        <v>2069.9699999999998</v>
      </c>
      <c r="T487" t="s">
        <v>41</v>
      </c>
      <c r="U487" t="s">
        <v>42</v>
      </c>
      <c r="V487" s="3">
        <f t="shared" si="63"/>
        <v>0.25</v>
      </c>
      <c r="W487">
        <f t="shared" si="64"/>
        <v>7665.57</v>
      </c>
      <c r="X487">
        <f t="shared" si="65"/>
        <v>2069.9699999999993</v>
      </c>
      <c r="Y487" s="4">
        <f t="shared" si="66"/>
        <v>0.27003471366121495</v>
      </c>
      <c r="Z487">
        <f t="shared" si="67"/>
        <v>1</v>
      </c>
      <c r="AA487">
        <f t="shared" si="68"/>
        <v>1</v>
      </c>
      <c r="AB487">
        <f t="shared" si="69"/>
        <v>2025</v>
      </c>
      <c r="AC487" t="str">
        <f t="shared" si="70"/>
        <v>Unique</v>
      </c>
      <c r="AD487" t="str">
        <f t="shared" si="71"/>
        <v>Clean</v>
      </c>
    </row>
    <row r="488" spans="1:30" x14ac:dyDescent="0.3">
      <c r="A488" t="s">
        <v>1568</v>
      </c>
      <c r="B488" s="2">
        <v>45830</v>
      </c>
      <c r="C488" s="2">
        <v>45834</v>
      </c>
      <c r="D488" t="s">
        <v>1569</v>
      </c>
      <c r="E488" t="s">
        <v>127</v>
      </c>
      <c r="F488" t="s">
        <v>99</v>
      </c>
      <c r="G488" t="s">
        <v>72</v>
      </c>
      <c r="H488" t="s">
        <v>199</v>
      </c>
      <c r="I488" t="s">
        <v>200</v>
      </c>
      <c r="J488" t="s">
        <v>50</v>
      </c>
      <c r="K488" t="s">
        <v>51</v>
      </c>
      <c r="L488" t="s">
        <v>1570</v>
      </c>
      <c r="M488" t="s">
        <v>68</v>
      </c>
      <c r="N488">
        <v>3</v>
      </c>
      <c r="O488">
        <v>1946.18</v>
      </c>
      <c r="P488" s="3">
        <v>0.2</v>
      </c>
      <c r="Q488">
        <v>4670.83</v>
      </c>
      <c r="R488">
        <v>3166.49</v>
      </c>
      <c r="S488">
        <v>1504.34</v>
      </c>
      <c r="T488" t="s">
        <v>41</v>
      </c>
      <c r="U488" t="s">
        <v>42</v>
      </c>
      <c r="V488" s="3">
        <f t="shared" si="63"/>
        <v>0.2</v>
      </c>
      <c r="W488">
        <f t="shared" si="64"/>
        <v>4670.8320000000003</v>
      </c>
      <c r="X488">
        <f t="shared" si="65"/>
        <v>1504.3420000000006</v>
      </c>
      <c r="Y488" s="4">
        <f t="shared" si="66"/>
        <v>0.3220715281560117</v>
      </c>
      <c r="Z488">
        <f t="shared" si="67"/>
        <v>4</v>
      </c>
      <c r="AA488">
        <f t="shared" si="68"/>
        <v>6</v>
      </c>
      <c r="AB488">
        <f t="shared" si="69"/>
        <v>2025</v>
      </c>
      <c r="AC488" t="str">
        <f t="shared" si="70"/>
        <v>Unique</v>
      </c>
      <c r="AD488" t="str">
        <f t="shared" si="71"/>
        <v>Clean</v>
      </c>
    </row>
    <row r="489" spans="1:30" x14ac:dyDescent="0.3">
      <c r="A489" t="s">
        <v>1571</v>
      </c>
      <c r="B489" s="2">
        <v>45818</v>
      </c>
      <c r="C489" s="2">
        <v>45825</v>
      </c>
      <c r="D489" t="s">
        <v>1572</v>
      </c>
      <c r="E489" t="s">
        <v>127</v>
      </c>
      <c r="F489" t="s">
        <v>99</v>
      </c>
      <c r="G489" t="s">
        <v>63</v>
      </c>
      <c r="H489" t="s">
        <v>64</v>
      </c>
      <c r="I489" t="s">
        <v>65</v>
      </c>
      <c r="J489" t="s">
        <v>50</v>
      </c>
      <c r="K489" t="s">
        <v>66</v>
      </c>
      <c r="L489" t="s">
        <v>1573</v>
      </c>
      <c r="M489" t="s">
        <v>68</v>
      </c>
      <c r="N489">
        <v>5</v>
      </c>
      <c r="O489">
        <v>1231.0999999999999</v>
      </c>
      <c r="P489" s="3">
        <v>0</v>
      </c>
      <c r="Q489">
        <v>6155.5</v>
      </c>
      <c r="R489">
        <v>4282.09</v>
      </c>
      <c r="S489">
        <v>1873.41</v>
      </c>
      <c r="T489" t="s">
        <v>111</v>
      </c>
      <c r="U489" t="s">
        <v>112</v>
      </c>
      <c r="V489" s="3">
        <f t="shared" si="63"/>
        <v>0</v>
      </c>
      <c r="W489">
        <f t="shared" si="64"/>
        <v>6155.5</v>
      </c>
      <c r="X489">
        <f t="shared" si="65"/>
        <v>1873.4099999999999</v>
      </c>
      <c r="Y489" s="4">
        <f t="shared" si="66"/>
        <v>0.3043473316546178</v>
      </c>
      <c r="Z489">
        <f t="shared" si="67"/>
        <v>7</v>
      </c>
      <c r="AA489">
        <f t="shared" si="68"/>
        <v>6</v>
      </c>
      <c r="AB489">
        <f t="shared" si="69"/>
        <v>2025</v>
      </c>
      <c r="AC489" t="str">
        <f t="shared" si="70"/>
        <v>Unique</v>
      </c>
      <c r="AD489" t="str">
        <f t="shared" si="71"/>
        <v>Clean</v>
      </c>
    </row>
    <row r="490" spans="1:30" x14ac:dyDescent="0.3">
      <c r="A490" t="s">
        <v>1574</v>
      </c>
      <c r="B490" s="2">
        <v>45579</v>
      </c>
      <c r="C490" s="2">
        <v>45585</v>
      </c>
      <c r="D490" t="s">
        <v>1575</v>
      </c>
      <c r="E490" t="s">
        <v>98</v>
      </c>
      <c r="F490" t="s">
        <v>46</v>
      </c>
      <c r="G490" t="s">
        <v>34</v>
      </c>
      <c r="H490" t="s">
        <v>35</v>
      </c>
      <c r="I490" t="s">
        <v>36</v>
      </c>
      <c r="J490" t="s">
        <v>50</v>
      </c>
      <c r="K490" t="s">
        <v>51</v>
      </c>
      <c r="L490" t="s">
        <v>1576</v>
      </c>
      <c r="M490" t="s">
        <v>53</v>
      </c>
      <c r="N490">
        <v>7</v>
      </c>
      <c r="O490">
        <v>1547.6</v>
      </c>
      <c r="P490" s="3">
        <v>0.2</v>
      </c>
      <c r="Q490">
        <v>8666.56</v>
      </c>
      <c r="R490">
        <v>5967.44</v>
      </c>
      <c r="S490">
        <v>2699.12</v>
      </c>
      <c r="T490" t="s">
        <v>41</v>
      </c>
      <c r="U490" t="s">
        <v>42</v>
      </c>
      <c r="V490" s="3">
        <f t="shared" si="63"/>
        <v>0.2</v>
      </c>
      <c r="W490">
        <f t="shared" si="64"/>
        <v>8666.56</v>
      </c>
      <c r="X490">
        <f t="shared" si="65"/>
        <v>2699.12</v>
      </c>
      <c r="Y490" s="4">
        <f t="shared" si="66"/>
        <v>0.31144075619392242</v>
      </c>
      <c r="Z490">
        <f t="shared" si="67"/>
        <v>6</v>
      </c>
      <c r="AA490">
        <f t="shared" si="68"/>
        <v>10</v>
      </c>
      <c r="AB490">
        <f t="shared" si="69"/>
        <v>2024</v>
      </c>
      <c r="AC490" t="str">
        <f t="shared" si="70"/>
        <v>Unique</v>
      </c>
      <c r="AD490" t="str">
        <f t="shared" si="71"/>
        <v>Clean</v>
      </c>
    </row>
    <row r="491" spans="1:30" x14ac:dyDescent="0.3">
      <c r="A491" t="s">
        <v>1577</v>
      </c>
      <c r="B491" s="2">
        <v>45329</v>
      </c>
      <c r="C491" s="2">
        <v>45334</v>
      </c>
      <c r="D491" t="s">
        <v>1578</v>
      </c>
      <c r="E491" t="s">
        <v>62</v>
      </c>
      <c r="F491" t="s">
        <v>104</v>
      </c>
      <c r="G491" t="s">
        <v>47</v>
      </c>
      <c r="H491" t="s">
        <v>108</v>
      </c>
      <c r="I491" t="s">
        <v>109</v>
      </c>
      <c r="J491" t="s">
        <v>83</v>
      </c>
      <c r="K491" t="s">
        <v>84</v>
      </c>
      <c r="L491" t="s">
        <v>1579</v>
      </c>
      <c r="M491" t="s">
        <v>40</v>
      </c>
      <c r="N491">
        <v>1</v>
      </c>
      <c r="O491">
        <v>452.19</v>
      </c>
      <c r="P491" s="3">
        <v>0.2</v>
      </c>
      <c r="Q491">
        <v>361.75</v>
      </c>
      <c r="R491">
        <v>262.52999999999997</v>
      </c>
      <c r="S491">
        <v>99.22</v>
      </c>
      <c r="T491" t="s">
        <v>41</v>
      </c>
      <c r="U491" t="s">
        <v>42</v>
      </c>
      <c r="V491" s="3">
        <f t="shared" si="63"/>
        <v>0.2</v>
      </c>
      <c r="W491">
        <f t="shared" si="64"/>
        <v>361.75200000000001</v>
      </c>
      <c r="X491">
        <f t="shared" si="65"/>
        <v>99.222000000000037</v>
      </c>
      <c r="Y491" s="4">
        <f t="shared" si="66"/>
        <v>0.27428182843495003</v>
      </c>
      <c r="Z491">
        <f t="shared" si="67"/>
        <v>5</v>
      </c>
      <c r="AA491">
        <f t="shared" si="68"/>
        <v>2</v>
      </c>
      <c r="AB491">
        <f t="shared" si="69"/>
        <v>2024</v>
      </c>
      <c r="AC491" t="str">
        <f t="shared" si="70"/>
        <v>Unique</v>
      </c>
      <c r="AD491" t="str">
        <f t="shared" si="71"/>
        <v>Clean</v>
      </c>
    </row>
    <row r="492" spans="1:30" x14ac:dyDescent="0.3">
      <c r="A492" t="s">
        <v>1580</v>
      </c>
      <c r="B492" s="2">
        <v>45551</v>
      </c>
      <c r="C492" s="2">
        <v>45554</v>
      </c>
      <c r="D492" t="s">
        <v>1581</v>
      </c>
      <c r="E492" t="s">
        <v>98</v>
      </c>
      <c r="F492" t="s">
        <v>33</v>
      </c>
      <c r="G492" t="s">
        <v>72</v>
      </c>
      <c r="H492" t="s">
        <v>35</v>
      </c>
      <c r="I492" t="s">
        <v>118</v>
      </c>
      <c r="J492" t="s">
        <v>37</v>
      </c>
      <c r="K492" t="s">
        <v>162</v>
      </c>
      <c r="L492" t="s">
        <v>1582</v>
      </c>
      <c r="M492" t="s">
        <v>59</v>
      </c>
      <c r="N492">
        <v>7</v>
      </c>
      <c r="O492">
        <v>406.42</v>
      </c>
      <c r="P492" s="3">
        <v>0.15</v>
      </c>
      <c r="Q492">
        <v>2418.1999999999998</v>
      </c>
      <c r="R492">
        <v>1613.82</v>
      </c>
      <c r="S492">
        <v>804.38</v>
      </c>
      <c r="T492" t="s">
        <v>41</v>
      </c>
      <c r="U492" t="s">
        <v>42</v>
      </c>
      <c r="V492" s="3">
        <f t="shared" si="63"/>
        <v>0.15</v>
      </c>
      <c r="W492">
        <f t="shared" si="64"/>
        <v>2418.1990000000001</v>
      </c>
      <c r="X492">
        <f t="shared" si="65"/>
        <v>804.37900000000013</v>
      </c>
      <c r="Y492" s="4">
        <f t="shared" si="66"/>
        <v>0.33263556886757462</v>
      </c>
      <c r="Z492">
        <f t="shared" si="67"/>
        <v>3</v>
      </c>
      <c r="AA492">
        <f t="shared" si="68"/>
        <v>9</v>
      </c>
      <c r="AB492">
        <f t="shared" si="69"/>
        <v>2024</v>
      </c>
      <c r="AC492" t="str">
        <f t="shared" si="70"/>
        <v>Unique</v>
      </c>
      <c r="AD492" t="str">
        <f t="shared" si="71"/>
        <v>Clean</v>
      </c>
    </row>
    <row r="493" spans="1:30" x14ac:dyDescent="0.3">
      <c r="A493" t="s">
        <v>1583</v>
      </c>
      <c r="B493" s="2">
        <v>45776</v>
      </c>
      <c r="C493" s="2">
        <v>45777</v>
      </c>
      <c r="D493" t="s">
        <v>1584</v>
      </c>
      <c r="E493" t="s">
        <v>45</v>
      </c>
      <c r="F493" t="s">
        <v>99</v>
      </c>
      <c r="G493" t="s">
        <v>63</v>
      </c>
      <c r="H493" t="s">
        <v>194</v>
      </c>
      <c r="I493" t="s">
        <v>195</v>
      </c>
      <c r="J493" t="s">
        <v>83</v>
      </c>
      <c r="K493" t="s">
        <v>84</v>
      </c>
      <c r="L493" t="s">
        <v>1585</v>
      </c>
      <c r="M493" t="s">
        <v>68</v>
      </c>
      <c r="N493">
        <v>4</v>
      </c>
      <c r="O493">
        <v>606.58000000000004</v>
      </c>
      <c r="P493" s="3">
        <v>0.2</v>
      </c>
      <c r="Q493">
        <v>1941.06</v>
      </c>
      <c r="R493">
        <v>1207.42</v>
      </c>
      <c r="S493">
        <v>733.64</v>
      </c>
      <c r="T493" t="s">
        <v>41</v>
      </c>
      <c r="U493" t="s">
        <v>42</v>
      </c>
      <c r="V493" s="3">
        <f t="shared" si="63"/>
        <v>0.2</v>
      </c>
      <c r="W493">
        <f t="shared" si="64"/>
        <v>1941.0560000000003</v>
      </c>
      <c r="X493">
        <f t="shared" si="65"/>
        <v>733.63600000000019</v>
      </c>
      <c r="Y493" s="4">
        <f t="shared" si="66"/>
        <v>0.37795715321969076</v>
      </c>
      <c r="Z493">
        <f t="shared" si="67"/>
        <v>1</v>
      </c>
      <c r="AA493">
        <f t="shared" si="68"/>
        <v>4</v>
      </c>
      <c r="AB493">
        <f t="shared" si="69"/>
        <v>2025</v>
      </c>
      <c r="AC493" t="str">
        <f t="shared" si="70"/>
        <v>Unique</v>
      </c>
      <c r="AD493" t="str">
        <f t="shared" si="71"/>
        <v>Clean</v>
      </c>
    </row>
    <row r="494" spans="1:30" x14ac:dyDescent="0.3">
      <c r="A494" t="s">
        <v>1586</v>
      </c>
      <c r="B494" s="2">
        <v>45836</v>
      </c>
      <c r="C494" s="2">
        <v>45840</v>
      </c>
      <c r="D494" t="s">
        <v>1587</v>
      </c>
      <c r="E494" t="s">
        <v>71</v>
      </c>
      <c r="F494" t="s">
        <v>99</v>
      </c>
      <c r="G494" t="s">
        <v>63</v>
      </c>
      <c r="H494" t="s">
        <v>93</v>
      </c>
      <c r="I494" t="s">
        <v>94</v>
      </c>
      <c r="J494" t="s">
        <v>37</v>
      </c>
      <c r="K494" t="s">
        <v>133</v>
      </c>
      <c r="L494" t="s">
        <v>1588</v>
      </c>
      <c r="M494" t="s">
        <v>40</v>
      </c>
      <c r="N494">
        <v>2</v>
      </c>
      <c r="O494">
        <v>2725.44</v>
      </c>
      <c r="P494" s="3">
        <v>0.25</v>
      </c>
      <c r="Q494">
        <v>4088.16</v>
      </c>
      <c r="R494">
        <v>3205.68</v>
      </c>
      <c r="S494">
        <v>882.48</v>
      </c>
      <c r="T494" t="s">
        <v>41</v>
      </c>
      <c r="U494" t="s">
        <v>42</v>
      </c>
      <c r="V494" s="3">
        <f t="shared" si="63"/>
        <v>0.25</v>
      </c>
      <c r="W494">
        <f t="shared" si="64"/>
        <v>4088.16</v>
      </c>
      <c r="X494">
        <f t="shared" si="65"/>
        <v>882.48</v>
      </c>
      <c r="Y494" s="4">
        <f t="shared" si="66"/>
        <v>0.21586239286133616</v>
      </c>
      <c r="Z494">
        <f t="shared" si="67"/>
        <v>4</v>
      </c>
      <c r="AA494">
        <f t="shared" si="68"/>
        <v>6</v>
      </c>
      <c r="AB494">
        <f t="shared" si="69"/>
        <v>2025</v>
      </c>
      <c r="AC494" t="str">
        <f t="shared" si="70"/>
        <v>Unique</v>
      </c>
      <c r="AD494" t="str">
        <f t="shared" si="71"/>
        <v>Clean</v>
      </c>
    </row>
    <row r="495" spans="1:30" x14ac:dyDescent="0.3">
      <c r="A495" t="s">
        <v>1589</v>
      </c>
      <c r="B495" s="2">
        <v>45701</v>
      </c>
      <c r="C495" s="2">
        <v>45701</v>
      </c>
      <c r="D495" t="s">
        <v>1590</v>
      </c>
      <c r="E495" t="s">
        <v>274</v>
      </c>
      <c r="F495" t="s">
        <v>99</v>
      </c>
      <c r="G495" t="s">
        <v>47</v>
      </c>
      <c r="H495" t="s">
        <v>48</v>
      </c>
      <c r="I495" t="s">
        <v>49</v>
      </c>
      <c r="J495" t="s">
        <v>37</v>
      </c>
      <c r="K495" t="s">
        <v>38</v>
      </c>
      <c r="L495" t="s">
        <v>1591</v>
      </c>
      <c r="M495" t="s">
        <v>40</v>
      </c>
      <c r="N495">
        <v>7</v>
      </c>
      <c r="O495">
        <v>2296.6999999999998</v>
      </c>
      <c r="P495" s="3">
        <v>0.05</v>
      </c>
      <c r="Q495">
        <v>15273.05</v>
      </c>
      <c r="R495">
        <v>11088.76</v>
      </c>
      <c r="S495">
        <v>4184.29</v>
      </c>
      <c r="T495" t="s">
        <v>41</v>
      </c>
      <c r="U495" t="s">
        <v>42</v>
      </c>
      <c r="V495" s="3">
        <f t="shared" si="63"/>
        <v>0.05</v>
      </c>
      <c r="W495">
        <f t="shared" si="64"/>
        <v>15273.054999999997</v>
      </c>
      <c r="X495">
        <f t="shared" si="65"/>
        <v>4184.2949999999964</v>
      </c>
      <c r="Y495" s="4">
        <f t="shared" si="66"/>
        <v>0.27396581757873573</v>
      </c>
      <c r="Z495">
        <f t="shared" si="67"/>
        <v>0</v>
      </c>
      <c r="AA495">
        <f t="shared" si="68"/>
        <v>2</v>
      </c>
      <c r="AB495">
        <f t="shared" si="69"/>
        <v>2025</v>
      </c>
      <c r="AC495" t="str">
        <f t="shared" si="70"/>
        <v>Unique</v>
      </c>
      <c r="AD495" t="str">
        <f t="shared" si="71"/>
        <v>Clean</v>
      </c>
    </row>
    <row r="496" spans="1:30" x14ac:dyDescent="0.3">
      <c r="A496" t="s">
        <v>1592</v>
      </c>
      <c r="B496" s="2">
        <v>45610</v>
      </c>
      <c r="C496" s="2">
        <v>45618</v>
      </c>
      <c r="D496" t="s">
        <v>1593</v>
      </c>
      <c r="E496" t="s">
        <v>56</v>
      </c>
      <c r="F496" t="s">
        <v>33</v>
      </c>
      <c r="G496" t="s">
        <v>72</v>
      </c>
      <c r="H496" t="s">
        <v>81</v>
      </c>
      <c r="I496" t="s">
        <v>82</v>
      </c>
      <c r="J496" t="s">
        <v>83</v>
      </c>
      <c r="K496" t="s">
        <v>180</v>
      </c>
      <c r="L496" t="s">
        <v>1594</v>
      </c>
      <c r="M496" t="s">
        <v>68</v>
      </c>
      <c r="N496">
        <v>3</v>
      </c>
      <c r="O496">
        <v>671.68</v>
      </c>
      <c r="P496" s="3">
        <v>-0.13</v>
      </c>
      <c r="Q496">
        <v>1712.78</v>
      </c>
      <c r="R496">
        <v>1569.38</v>
      </c>
      <c r="S496">
        <v>360.66</v>
      </c>
      <c r="T496" t="s">
        <v>164</v>
      </c>
      <c r="U496" t="s">
        <v>77</v>
      </c>
      <c r="V496" s="3">
        <f t="shared" si="63"/>
        <v>0.13</v>
      </c>
      <c r="W496">
        <f t="shared" si="64"/>
        <v>1753.0847999999999</v>
      </c>
      <c r="X496">
        <f t="shared" si="65"/>
        <v>183.70479999999975</v>
      </c>
      <c r="Y496" s="4">
        <f t="shared" si="66"/>
        <v>0.10478945456603113</v>
      </c>
      <c r="Z496">
        <f t="shared" si="67"/>
        <v>8</v>
      </c>
      <c r="AA496">
        <f t="shared" si="68"/>
        <v>11</v>
      </c>
      <c r="AB496">
        <f t="shared" si="69"/>
        <v>2024</v>
      </c>
      <c r="AC496" t="str">
        <f t="shared" si="70"/>
        <v>Unique</v>
      </c>
      <c r="AD496" t="str">
        <f t="shared" si="71"/>
        <v>Invalid</v>
      </c>
    </row>
    <row r="497" spans="1:30" x14ac:dyDescent="0.3">
      <c r="A497" t="s">
        <v>1595</v>
      </c>
      <c r="B497" s="2">
        <v>45421</v>
      </c>
      <c r="C497" s="2">
        <v>45427</v>
      </c>
      <c r="D497" t="s">
        <v>1596</v>
      </c>
      <c r="E497" t="s">
        <v>45</v>
      </c>
      <c r="F497" t="s">
        <v>46</v>
      </c>
      <c r="G497" t="s">
        <v>47</v>
      </c>
      <c r="H497" t="s">
        <v>175</v>
      </c>
      <c r="I497" t="s">
        <v>176</v>
      </c>
      <c r="J497" t="s">
        <v>83</v>
      </c>
      <c r="K497" t="s">
        <v>180</v>
      </c>
      <c r="L497" t="s">
        <v>1597</v>
      </c>
      <c r="M497" t="s">
        <v>40</v>
      </c>
      <c r="N497">
        <v>4</v>
      </c>
      <c r="O497">
        <v>995.98</v>
      </c>
      <c r="P497" s="3">
        <v>0.05</v>
      </c>
      <c r="Q497">
        <v>3784.72</v>
      </c>
      <c r="R497">
        <v>2419.2399999999998</v>
      </c>
      <c r="S497">
        <v>1365.48</v>
      </c>
      <c r="T497" t="s">
        <v>111</v>
      </c>
      <c r="U497" t="s">
        <v>112</v>
      </c>
      <c r="V497" s="3">
        <f t="shared" si="63"/>
        <v>0.05</v>
      </c>
      <c r="W497">
        <f t="shared" si="64"/>
        <v>3784.7239999999997</v>
      </c>
      <c r="X497">
        <f t="shared" si="65"/>
        <v>1365.4839999999999</v>
      </c>
      <c r="Y497" s="4">
        <f t="shared" si="66"/>
        <v>0.36078826355633858</v>
      </c>
      <c r="Z497">
        <f t="shared" si="67"/>
        <v>6</v>
      </c>
      <c r="AA497">
        <f t="shared" si="68"/>
        <v>5</v>
      </c>
      <c r="AB497">
        <f t="shared" si="69"/>
        <v>2024</v>
      </c>
      <c r="AC497" t="str">
        <f t="shared" si="70"/>
        <v>Unique</v>
      </c>
      <c r="AD497" t="str">
        <f t="shared" si="71"/>
        <v>Clean</v>
      </c>
    </row>
    <row r="498" spans="1:30" x14ac:dyDescent="0.3">
      <c r="A498" t="s">
        <v>1598</v>
      </c>
      <c r="B498" s="2">
        <v>45842</v>
      </c>
      <c r="C498" s="2">
        <v>45844</v>
      </c>
      <c r="D498" t="s">
        <v>1599</v>
      </c>
      <c r="E498" t="s">
        <v>274</v>
      </c>
      <c r="F498" t="s">
        <v>46</v>
      </c>
      <c r="G498" t="s">
        <v>47</v>
      </c>
      <c r="H498" t="s">
        <v>238</v>
      </c>
      <c r="I498" t="s">
        <v>239</v>
      </c>
      <c r="J498" t="s">
        <v>50</v>
      </c>
      <c r="K498" t="s">
        <v>75</v>
      </c>
      <c r="L498" t="s">
        <v>1600</v>
      </c>
      <c r="M498" t="s">
        <v>40</v>
      </c>
      <c r="N498">
        <v>2</v>
      </c>
      <c r="O498">
        <v>3686.42</v>
      </c>
      <c r="P498" s="3">
        <v>0.1</v>
      </c>
      <c r="Q498">
        <v>6635.56</v>
      </c>
      <c r="R498">
        <v>3652.91</v>
      </c>
      <c r="S498">
        <v>2982.65</v>
      </c>
      <c r="T498" t="s">
        <v>41</v>
      </c>
      <c r="U498" t="s">
        <v>42</v>
      </c>
      <c r="V498" s="3">
        <f t="shared" si="63"/>
        <v>0.1</v>
      </c>
      <c r="W498">
        <f t="shared" si="64"/>
        <v>6635.5560000000005</v>
      </c>
      <c r="X498">
        <f t="shared" si="65"/>
        <v>2982.6460000000006</v>
      </c>
      <c r="Y498" s="4">
        <f t="shared" si="66"/>
        <v>0.44949451108543131</v>
      </c>
      <c r="Z498">
        <f t="shared" si="67"/>
        <v>2</v>
      </c>
      <c r="AA498">
        <f t="shared" si="68"/>
        <v>7</v>
      </c>
      <c r="AB498">
        <f t="shared" si="69"/>
        <v>2025</v>
      </c>
      <c r="AC498" t="str">
        <f t="shared" si="70"/>
        <v>Unique</v>
      </c>
      <c r="AD498" t="str">
        <f t="shared" si="71"/>
        <v>Clean</v>
      </c>
    </row>
    <row r="499" spans="1:30" x14ac:dyDescent="0.3">
      <c r="A499" t="s">
        <v>1601</v>
      </c>
      <c r="B499" s="2">
        <v>45533</v>
      </c>
      <c r="C499" s="2">
        <v>45533</v>
      </c>
      <c r="D499" t="s">
        <v>1602</v>
      </c>
      <c r="E499" t="s">
        <v>141</v>
      </c>
      <c r="F499" t="s">
        <v>46</v>
      </c>
      <c r="G499" t="s">
        <v>34</v>
      </c>
      <c r="H499" t="s">
        <v>145</v>
      </c>
      <c r="I499" t="s">
        <v>146</v>
      </c>
      <c r="J499" t="s">
        <v>83</v>
      </c>
      <c r="K499" t="s">
        <v>84</v>
      </c>
      <c r="L499" t="s">
        <v>1603</v>
      </c>
      <c r="M499" t="s">
        <v>40</v>
      </c>
      <c r="N499">
        <v>1</v>
      </c>
      <c r="O499">
        <v>3106.88</v>
      </c>
      <c r="P499" s="3">
        <v>0.2</v>
      </c>
      <c r="Q499">
        <v>2485.5</v>
      </c>
      <c r="R499">
        <v>2028.43</v>
      </c>
      <c r="S499">
        <v>457.07</v>
      </c>
      <c r="T499" t="s">
        <v>41</v>
      </c>
      <c r="U499" t="s">
        <v>77</v>
      </c>
      <c r="V499" s="3">
        <f t="shared" si="63"/>
        <v>0.2</v>
      </c>
      <c r="W499">
        <f t="shared" si="64"/>
        <v>2485.5040000000004</v>
      </c>
      <c r="X499">
        <f t="shared" si="65"/>
        <v>457.0740000000003</v>
      </c>
      <c r="Y499" s="4">
        <f t="shared" si="66"/>
        <v>0.18389590199814615</v>
      </c>
      <c r="Z499">
        <f t="shared" si="67"/>
        <v>0</v>
      </c>
      <c r="AA499">
        <f t="shared" si="68"/>
        <v>8</v>
      </c>
      <c r="AB499">
        <f t="shared" si="69"/>
        <v>2024</v>
      </c>
      <c r="AC499" t="str">
        <f t="shared" si="70"/>
        <v>Unique</v>
      </c>
      <c r="AD499" t="str">
        <f t="shared" si="71"/>
        <v>Warning</v>
      </c>
    </row>
    <row r="500" spans="1:30" x14ac:dyDescent="0.3">
      <c r="A500" t="s">
        <v>1604</v>
      </c>
      <c r="B500" s="2">
        <v>45907</v>
      </c>
      <c r="C500" s="2">
        <v>45910</v>
      </c>
      <c r="D500" t="s">
        <v>1605</v>
      </c>
      <c r="E500" t="s">
        <v>32</v>
      </c>
      <c r="F500" t="s">
        <v>33</v>
      </c>
      <c r="G500" t="s">
        <v>34</v>
      </c>
      <c r="H500" t="s">
        <v>131</v>
      </c>
      <c r="I500" t="s">
        <v>132</v>
      </c>
      <c r="J500" t="s">
        <v>50</v>
      </c>
      <c r="K500" t="s">
        <v>75</v>
      </c>
      <c r="L500" t="s">
        <v>1606</v>
      </c>
      <c r="M500" t="s">
        <v>53</v>
      </c>
      <c r="N500">
        <v>2</v>
      </c>
      <c r="O500">
        <v>447.55</v>
      </c>
      <c r="P500" s="3">
        <v>0.05</v>
      </c>
      <c r="Q500">
        <v>850.35</v>
      </c>
      <c r="R500">
        <v>600.98</v>
      </c>
      <c r="S500">
        <v>249.37</v>
      </c>
      <c r="T500" t="s">
        <v>111</v>
      </c>
      <c r="U500" t="s">
        <v>77</v>
      </c>
      <c r="V500" s="3">
        <f t="shared" si="63"/>
        <v>0.05</v>
      </c>
      <c r="W500">
        <f t="shared" si="64"/>
        <v>850.34500000000003</v>
      </c>
      <c r="X500">
        <f t="shared" si="65"/>
        <v>249.36500000000001</v>
      </c>
      <c r="Y500" s="4">
        <f t="shared" si="66"/>
        <v>0.29325156260106194</v>
      </c>
      <c r="Z500">
        <f t="shared" si="67"/>
        <v>3</v>
      </c>
      <c r="AA500">
        <f t="shared" si="68"/>
        <v>9</v>
      </c>
      <c r="AB500">
        <f t="shared" si="69"/>
        <v>2025</v>
      </c>
      <c r="AC500" t="str">
        <f t="shared" si="70"/>
        <v>Unique</v>
      </c>
      <c r="AD500" t="str">
        <f t="shared" si="71"/>
        <v>Warning</v>
      </c>
    </row>
    <row r="501" spans="1:30" x14ac:dyDescent="0.3">
      <c r="A501" t="s">
        <v>1607</v>
      </c>
      <c r="B501" s="2">
        <v>45648</v>
      </c>
      <c r="C501" s="2">
        <v>45652</v>
      </c>
      <c r="D501" t="s">
        <v>1608</v>
      </c>
      <c r="E501" t="s">
        <v>127</v>
      </c>
      <c r="F501" t="s">
        <v>104</v>
      </c>
      <c r="G501" t="s">
        <v>34</v>
      </c>
      <c r="H501" t="s">
        <v>145</v>
      </c>
      <c r="I501" t="s">
        <v>146</v>
      </c>
      <c r="J501" t="s">
        <v>50</v>
      </c>
      <c r="K501" t="s">
        <v>75</v>
      </c>
      <c r="L501" t="s">
        <v>1609</v>
      </c>
      <c r="M501" t="s">
        <v>68</v>
      </c>
      <c r="N501">
        <v>9</v>
      </c>
      <c r="O501">
        <v>1110.8699999999999</v>
      </c>
      <c r="P501" s="3"/>
      <c r="Q501">
        <v>7498.37</v>
      </c>
      <c r="R501">
        <v>6059.07</v>
      </c>
      <c r="S501">
        <v>1439.3</v>
      </c>
      <c r="T501" t="s">
        <v>41</v>
      </c>
      <c r="U501" t="s">
        <v>77</v>
      </c>
      <c r="V501" s="3">
        <f t="shared" si="63"/>
        <v>0</v>
      </c>
      <c r="W501">
        <f t="shared" si="64"/>
        <v>9997.8299999999981</v>
      </c>
      <c r="X501">
        <f t="shared" si="65"/>
        <v>3938.7599999999984</v>
      </c>
      <c r="Y501" s="4">
        <f t="shared" si="66"/>
        <v>0.3939614896432525</v>
      </c>
      <c r="Z501">
        <f t="shared" si="67"/>
        <v>4</v>
      </c>
      <c r="AA501">
        <f t="shared" si="68"/>
        <v>12</v>
      </c>
      <c r="AB501">
        <f t="shared" si="69"/>
        <v>2024</v>
      </c>
      <c r="AC501" t="str">
        <f t="shared" si="70"/>
        <v>Unique</v>
      </c>
      <c r="AD501" t="str">
        <f t="shared" si="71"/>
        <v>Warning</v>
      </c>
    </row>
    <row r="502" spans="1:30" x14ac:dyDescent="0.3">
      <c r="A502" t="s">
        <v>1610</v>
      </c>
      <c r="B502" s="2">
        <v>45429</v>
      </c>
      <c r="C502" s="2">
        <v>45434</v>
      </c>
      <c r="D502" t="s">
        <v>1611</v>
      </c>
      <c r="E502" t="s">
        <v>141</v>
      </c>
      <c r="F502" t="s">
        <v>33</v>
      </c>
      <c r="G502" t="s">
        <v>63</v>
      </c>
      <c r="H502" t="s">
        <v>194</v>
      </c>
      <c r="I502" t="s">
        <v>195</v>
      </c>
      <c r="J502" t="s">
        <v>83</v>
      </c>
      <c r="K502" t="s">
        <v>180</v>
      </c>
      <c r="L502" t="s">
        <v>1612</v>
      </c>
      <c r="M502" t="s">
        <v>53</v>
      </c>
      <c r="N502">
        <v>9</v>
      </c>
      <c r="O502">
        <v>3795.99</v>
      </c>
      <c r="P502" s="3" t="s">
        <v>777</v>
      </c>
      <c r="Q502">
        <v>34163.910000000003</v>
      </c>
      <c r="R502">
        <v>28577.15</v>
      </c>
      <c r="S502">
        <v>5586.76</v>
      </c>
      <c r="T502" t="s">
        <v>41</v>
      </c>
      <c r="U502" t="s">
        <v>42</v>
      </c>
      <c r="V502" s="3">
        <f t="shared" si="63"/>
        <v>0.85</v>
      </c>
      <c r="W502">
        <f t="shared" si="64"/>
        <v>5124.5865000000003</v>
      </c>
      <c r="X502">
        <f t="shared" si="65"/>
        <v>-23452.5635</v>
      </c>
      <c r="Y502" s="4">
        <f t="shared" si="66"/>
        <v>-4.5764791949555343</v>
      </c>
      <c r="Z502">
        <f t="shared" si="67"/>
        <v>5</v>
      </c>
      <c r="AA502">
        <f t="shared" si="68"/>
        <v>5</v>
      </c>
      <c r="AB502">
        <f t="shared" si="69"/>
        <v>2024</v>
      </c>
      <c r="AC502" t="str">
        <f t="shared" si="70"/>
        <v>Unique</v>
      </c>
      <c r="AD502" t="str">
        <f t="shared" si="71"/>
        <v>Invalid</v>
      </c>
    </row>
    <row r="503" spans="1:30" x14ac:dyDescent="0.3">
      <c r="A503" t="s">
        <v>1613</v>
      </c>
      <c r="B503" s="2">
        <v>45515</v>
      </c>
      <c r="C503" s="2">
        <v>45521</v>
      </c>
      <c r="D503" t="s">
        <v>818</v>
      </c>
      <c r="E503" t="s">
        <v>88</v>
      </c>
      <c r="F503" t="s">
        <v>33</v>
      </c>
      <c r="G503" t="s">
        <v>47</v>
      </c>
      <c r="H503" t="s">
        <v>238</v>
      </c>
      <c r="I503" t="s">
        <v>239</v>
      </c>
      <c r="J503" t="s">
        <v>37</v>
      </c>
      <c r="K503" t="s">
        <v>57</v>
      </c>
      <c r="L503" t="s">
        <v>1614</v>
      </c>
      <c r="M503" t="s">
        <v>40</v>
      </c>
      <c r="N503">
        <v>6</v>
      </c>
      <c r="O503">
        <v>3497.54</v>
      </c>
      <c r="P503" s="3">
        <v>0.15</v>
      </c>
      <c r="Q503">
        <v>17837.45</v>
      </c>
      <c r="R503">
        <v>13627.02</v>
      </c>
      <c r="S503">
        <v>4210.43</v>
      </c>
      <c r="T503" t="s">
        <v>41</v>
      </c>
      <c r="U503" t="s">
        <v>42</v>
      </c>
      <c r="V503" s="3">
        <f t="shared" si="63"/>
        <v>0.15</v>
      </c>
      <c r="W503">
        <f t="shared" si="64"/>
        <v>17837.453999999998</v>
      </c>
      <c r="X503">
        <f t="shared" si="65"/>
        <v>4210.4339999999975</v>
      </c>
      <c r="Y503" s="4">
        <f t="shared" si="66"/>
        <v>0.23604456106796395</v>
      </c>
      <c r="Z503">
        <f t="shared" si="67"/>
        <v>6</v>
      </c>
      <c r="AA503">
        <f t="shared" si="68"/>
        <v>8</v>
      </c>
      <c r="AB503">
        <f t="shared" si="69"/>
        <v>2024</v>
      </c>
      <c r="AC503" t="str">
        <f t="shared" si="70"/>
        <v>Unique</v>
      </c>
      <c r="AD503" t="str">
        <f t="shared" si="71"/>
        <v>Clean</v>
      </c>
    </row>
    <row r="504" spans="1:30" x14ac:dyDescent="0.3">
      <c r="A504" t="s">
        <v>1615</v>
      </c>
      <c r="B504" s="2">
        <v>45383</v>
      </c>
      <c r="C504" s="2">
        <v>45391</v>
      </c>
      <c r="D504" t="s">
        <v>1616</v>
      </c>
      <c r="E504" t="s">
        <v>123</v>
      </c>
      <c r="F504" t="s">
        <v>46</v>
      </c>
      <c r="G504" t="s">
        <v>47</v>
      </c>
      <c r="H504" t="s">
        <v>48</v>
      </c>
      <c r="I504" t="s">
        <v>49</v>
      </c>
      <c r="J504" t="s">
        <v>83</v>
      </c>
      <c r="K504" t="s">
        <v>89</v>
      </c>
      <c r="L504" t="s">
        <v>1617</v>
      </c>
      <c r="M504" t="s">
        <v>40</v>
      </c>
      <c r="N504">
        <v>6</v>
      </c>
      <c r="O504">
        <v>826.93</v>
      </c>
      <c r="P504" s="3">
        <v>0.1</v>
      </c>
      <c r="Q504">
        <v>4465.42</v>
      </c>
      <c r="R504">
        <v>3377.1</v>
      </c>
      <c r="S504">
        <v>1088.32</v>
      </c>
      <c r="T504" t="s">
        <v>41</v>
      </c>
      <c r="U504" t="s">
        <v>42</v>
      </c>
      <c r="V504" s="3">
        <f t="shared" si="63"/>
        <v>0.1</v>
      </c>
      <c r="W504">
        <f t="shared" si="64"/>
        <v>4465.4220000000005</v>
      </c>
      <c r="X504">
        <f t="shared" si="65"/>
        <v>1088.3220000000006</v>
      </c>
      <c r="Y504" s="4">
        <f t="shared" si="66"/>
        <v>0.24372209390288319</v>
      </c>
      <c r="Z504">
        <f t="shared" si="67"/>
        <v>8</v>
      </c>
      <c r="AA504">
        <f t="shared" si="68"/>
        <v>4</v>
      </c>
      <c r="AB504">
        <f t="shared" si="69"/>
        <v>2024</v>
      </c>
      <c r="AC504" t="str">
        <f t="shared" si="70"/>
        <v>Unique</v>
      </c>
      <c r="AD504" t="str">
        <f t="shared" si="71"/>
        <v>Clean</v>
      </c>
    </row>
    <row r="505" spans="1:30" x14ac:dyDescent="0.3">
      <c r="A505" t="s">
        <v>1618</v>
      </c>
      <c r="B505" s="2">
        <v>45563</v>
      </c>
      <c r="C505" s="2">
        <v>45570</v>
      </c>
      <c r="D505" t="s">
        <v>1619</v>
      </c>
      <c r="E505" t="s">
        <v>137</v>
      </c>
      <c r="F505" t="s">
        <v>33</v>
      </c>
      <c r="G505" t="s">
        <v>63</v>
      </c>
      <c r="H505" t="s">
        <v>257</v>
      </c>
      <c r="I505" t="s">
        <v>258</v>
      </c>
      <c r="J505" t="s">
        <v>83</v>
      </c>
      <c r="K505" t="s">
        <v>180</v>
      </c>
      <c r="L505" t="s">
        <v>1620</v>
      </c>
      <c r="M505" t="s">
        <v>68</v>
      </c>
      <c r="N505">
        <v>7</v>
      </c>
      <c r="O505">
        <v>1681.6</v>
      </c>
      <c r="P505" s="3">
        <v>0.1</v>
      </c>
      <c r="Q505">
        <v>10594.08</v>
      </c>
      <c r="R505">
        <v>7160.31</v>
      </c>
      <c r="S505">
        <v>3433.77</v>
      </c>
      <c r="T505" t="s">
        <v>41</v>
      </c>
      <c r="U505" t="s">
        <v>42</v>
      </c>
      <c r="V505" s="3">
        <f t="shared" si="63"/>
        <v>0.1</v>
      </c>
      <c r="W505">
        <f t="shared" si="64"/>
        <v>10594.08</v>
      </c>
      <c r="X505">
        <f t="shared" si="65"/>
        <v>3433.7699999999995</v>
      </c>
      <c r="Y505" s="4">
        <f t="shared" si="66"/>
        <v>0.32412158488514337</v>
      </c>
      <c r="Z505">
        <f t="shared" si="67"/>
        <v>7</v>
      </c>
      <c r="AA505">
        <f t="shared" si="68"/>
        <v>9</v>
      </c>
      <c r="AB505">
        <f t="shared" si="69"/>
        <v>2024</v>
      </c>
      <c r="AC505" t="str">
        <f t="shared" si="70"/>
        <v>Unique</v>
      </c>
      <c r="AD505" t="str">
        <f t="shared" si="71"/>
        <v>Clean</v>
      </c>
    </row>
    <row r="506" spans="1:30" x14ac:dyDescent="0.3">
      <c r="A506" t="s">
        <v>1621</v>
      </c>
      <c r="B506" s="2">
        <v>45700</v>
      </c>
      <c r="C506" s="2">
        <v>45705</v>
      </c>
      <c r="D506" t="s">
        <v>1622</v>
      </c>
      <c r="E506" t="s">
        <v>62</v>
      </c>
      <c r="F506" t="s">
        <v>99</v>
      </c>
      <c r="G506" t="s">
        <v>72</v>
      </c>
      <c r="H506" t="s">
        <v>189</v>
      </c>
      <c r="I506" t="s">
        <v>190</v>
      </c>
      <c r="J506" t="s">
        <v>37</v>
      </c>
      <c r="K506" t="s">
        <v>57</v>
      </c>
      <c r="L506" t="s">
        <v>1623</v>
      </c>
      <c r="M506" t="s">
        <v>68</v>
      </c>
      <c r="N506">
        <v>4</v>
      </c>
      <c r="O506">
        <v>4328.12</v>
      </c>
      <c r="P506" s="3">
        <v>0</v>
      </c>
      <c r="Q506">
        <v>17312.48</v>
      </c>
      <c r="R506">
        <v>14424.22</v>
      </c>
      <c r="S506">
        <v>2888.26</v>
      </c>
      <c r="T506" t="s">
        <v>41</v>
      </c>
      <c r="U506" t="s">
        <v>42</v>
      </c>
      <c r="V506" s="3">
        <f t="shared" si="63"/>
        <v>0</v>
      </c>
      <c r="W506">
        <f t="shared" si="64"/>
        <v>17312.48</v>
      </c>
      <c r="X506">
        <f t="shared" si="65"/>
        <v>2888.26</v>
      </c>
      <c r="Y506" s="4">
        <f t="shared" si="66"/>
        <v>0.16683109525613893</v>
      </c>
      <c r="Z506">
        <f t="shared" si="67"/>
        <v>5</v>
      </c>
      <c r="AA506">
        <f t="shared" si="68"/>
        <v>2</v>
      </c>
      <c r="AB506">
        <f t="shared" si="69"/>
        <v>2025</v>
      </c>
      <c r="AC506" t="str">
        <f t="shared" si="70"/>
        <v>Unique</v>
      </c>
      <c r="AD506" t="str">
        <f t="shared" si="71"/>
        <v>Clean</v>
      </c>
    </row>
    <row r="507" spans="1:30" x14ac:dyDescent="0.3">
      <c r="A507" t="s">
        <v>1624</v>
      </c>
      <c r="B507" s="2">
        <v>45605</v>
      </c>
      <c r="C507" s="2">
        <v>45610</v>
      </c>
      <c r="D507" t="s">
        <v>1625</v>
      </c>
      <c r="E507" t="s">
        <v>88</v>
      </c>
      <c r="F507" t="s">
        <v>99</v>
      </c>
      <c r="G507" t="s">
        <v>72</v>
      </c>
      <c r="H507" t="s">
        <v>81</v>
      </c>
      <c r="I507" t="s">
        <v>82</v>
      </c>
      <c r="J507" t="s">
        <v>37</v>
      </c>
      <c r="K507" t="s">
        <v>57</v>
      </c>
      <c r="L507" t="s">
        <v>1626</v>
      </c>
      <c r="M507" t="s">
        <v>59</v>
      </c>
      <c r="N507">
        <v>9</v>
      </c>
      <c r="O507">
        <v>2438.29</v>
      </c>
      <c r="P507" s="3">
        <v>0.2</v>
      </c>
      <c r="Q507">
        <v>17555.689999999999</v>
      </c>
      <c r="R507">
        <v>13293.2</v>
      </c>
      <c r="S507">
        <v>4262.49</v>
      </c>
      <c r="T507" t="s">
        <v>41</v>
      </c>
      <c r="U507" t="s">
        <v>77</v>
      </c>
      <c r="V507" s="3">
        <f t="shared" si="63"/>
        <v>0.2</v>
      </c>
      <c r="W507">
        <f t="shared" si="64"/>
        <v>17555.688000000002</v>
      </c>
      <c r="X507">
        <f t="shared" si="65"/>
        <v>4262.4880000000012</v>
      </c>
      <c r="Y507" s="4">
        <f t="shared" si="66"/>
        <v>0.24279811762432785</v>
      </c>
      <c r="Z507">
        <f t="shared" si="67"/>
        <v>5</v>
      </c>
      <c r="AA507">
        <f t="shared" si="68"/>
        <v>11</v>
      </c>
      <c r="AB507">
        <f t="shared" si="69"/>
        <v>2024</v>
      </c>
      <c r="AC507" t="str">
        <f t="shared" si="70"/>
        <v>Unique</v>
      </c>
      <c r="AD507" t="str">
        <f t="shared" si="71"/>
        <v>Warning</v>
      </c>
    </row>
    <row r="508" spans="1:30" x14ac:dyDescent="0.3">
      <c r="A508" t="s">
        <v>1627</v>
      </c>
      <c r="B508" s="2">
        <v>45641</v>
      </c>
      <c r="C508" s="2">
        <v>45641</v>
      </c>
      <c r="D508" t="s">
        <v>1628</v>
      </c>
      <c r="E508" t="s">
        <v>137</v>
      </c>
      <c r="F508" t="s">
        <v>46</v>
      </c>
      <c r="G508" t="s">
        <v>34</v>
      </c>
      <c r="H508" t="s">
        <v>131</v>
      </c>
      <c r="I508" t="s">
        <v>132</v>
      </c>
      <c r="J508" t="s">
        <v>50</v>
      </c>
      <c r="K508" t="s">
        <v>66</v>
      </c>
      <c r="L508" t="s">
        <v>1629</v>
      </c>
      <c r="M508" t="s">
        <v>59</v>
      </c>
      <c r="N508">
        <v>2</v>
      </c>
      <c r="O508">
        <v>669.8</v>
      </c>
      <c r="P508" s="3">
        <v>0.1</v>
      </c>
      <c r="Q508">
        <v>1205.6400000000001</v>
      </c>
      <c r="R508">
        <v>842.07</v>
      </c>
      <c r="S508">
        <v>363.57</v>
      </c>
      <c r="T508" t="s">
        <v>111</v>
      </c>
      <c r="U508" t="s">
        <v>112</v>
      </c>
      <c r="V508" s="3">
        <f t="shared" si="63"/>
        <v>0.1</v>
      </c>
      <c r="W508">
        <f t="shared" si="64"/>
        <v>1205.6399999999999</v>
      </c>
      <c r="X508">
        <f t="shared" si="65"/>
        <v>363.56999999999982</v>
      </c>
      <c r="Y508" s="4">
        <f t="shared" si="66"/>
        <v>0.30155767890912699</v>
      </c>
      <c r="Z508">
        <f t="shared" si="67"/>
        <v>0</v>
      </c>
      <c r="AA508">
        <f t="shared" si="68"/>
        <v>12</v>
      </c>
      <c r="AB508">
        <f t="shared" si="69"/>
        <v>2024</v>
      </c>
      <c r="AC508" t="str">
        <f t="shared" si="70"/>
        <v>Unique</v>
      </c>
      <c r="AD508" t="str">
        <f t="shared" si="71"/>
        <v>Clean</v>
      </c>
    </row>
    <row r="509" spans="1:30" x14ac:dyDescent="0.3">
      <c r="A509" t="s">
        <v>1630</v>
      </c>
      <c r="B509" s="2">
        <v>45762</v>
      </c>
      <c r="C509" s="2">
        <v>45769</v>
      </c>
      <c r="D509" t="s">
        <v>1631</v>
      </c>
      <c r="E509" t="s">
        <v>56</v>
      </c>
      <c r="F509" t="s">
        <v>46</v>
      </c>
      <c r="G509" t="s">
        <v>34</v>
      </c>
      <c r="H509" t="s">
        <v>246</v>
      </c>
      <c r="I509" t="s">
        <v>247</v>
      </c>
      <c r="J509" t="s">
        <v>37</v>
      </c>
      <c r="K509" t="s">
        <v>162</v>
      </c>
      <c r="L509" t="s">
        <v>1632</v>
      </c>
      <c r="M509" t="s">
        <v>53</v>
      </c>
      <c r="N509">
        <v>4</v>
      </c>
      <c r="O509">
        <v>2990.42</v>
      </c>
      <c r="P509" s="3">
        <v>0.25</v>
      </c>
      <c r="Q509">
        <v>8971.26</v>
      </c>
      <c r="R509">
        <v>6814.35</v>
      </c>
      <c r="S509">
        <v>2156.91</v>
      </c>
      <c r="T509" t="s">
        <v>41</v>
      </c>
      <c r="U509" t="s">
        <v>42</v>
      </c>
      <c r="V509" s="3">
        <f t="shared" si="63"/>
        <v>0.25</v>
      </c>
      <c r="W509">
        <f t="shared" si="64"/>
        <v>8971.26</v>
      </c>
      <c r="X509">
        <f t="shared" si="65"/>
        <v>2156.91</v>
      </c>
      <c r="Y509" s="4">
        <f t="shared" si="66"/>
        <v>0.24042442198754688</v>
      </c>
      <c r="Z509">
        <f t="shared" si="67"/>
        <v>7</v>
      </c>
      <c r="AA509">
        <f t="shared" si="68"/>
        <v>4</v>
      </c>
      <c r="AB509">
        <f t="shared" si="69"/>
        <v>2025</v>
      </c>
      <c r="AC509" t="str">
        <f t="shared" si="70"/>
        <v>Unique</v>
      </c>
      <c r="AD509" t="str">
        <f t="shared" si="71"/>
        <v>Clean</v>
      </c>
    </row>
    <row r="510" spans="1:30" x14ac:dyDescent="0.3">
      <c r="A510" t="s">
        <v>1633</v>
      </c>
      <c r="B510" s="2">
        <v>45382</v>
      </c>
      <c r="C510" s="2">
        <v>45389</v>
      </c>
      <c r="D510" t="s">
        <v>1634</v>
      </c>
      <c r="E510" t="s">
        <v>56</v>
      </c>
      <c r="F510" t="s">
        <v>46</v>
      </c>
      <c r="G510" t="s">
        <v>34</v>
      </c>
      <c r="H510" t="s">
        <v>246</v>
      </c>
      <c r="I510" t="s">
        <v>247</v>
      </c>
      <c r="J510" t="s">
        <v>83</v>
      </c>
      <c r="K510" t="s">
        <v>284</v>
      </c>
      <c r="L510" t="s">
        <v>1635</v>
      </c>
      <c r="M510" t="s">
        <v>40</v>
      </c>
      <c r="N510">
        <v>4</v>
      </c>
      <c r="O510">
        <v>1831</v>
      </c>
      <c r="P510" s="3">
        <v>0</v>
      </c>
      <c r="Q510">
        <v>7324</v>
      </c>
      <c r="R510">
        <v>4179.63</v>
      </c>
      <c r="S510">
        <v>3144.37</v>
      </c>
      <c r="T510" t="s">
        <v>41</v>
      </c>
      <c r="U510" t="s">
        <v>42</v>
      </c>
      <c r="V510" s="3">
        <f t="shared" si="63"/>
        <v>0</v>
      </c>
      <c r="W510">
        <f t="shared" si="64"/>
        <v>7324</v>
      </c>
      <c r="X510">
        <f t="shared" si="65"/>
        <v>3144.37</v>
      </c>
      <c r="Y510" s="4">
        <f t="shared" si="66"/>
        <v>0.42932413981430911</v>
      </c>
      <c r="Z510">
        <f t="shared" si="67"/>
        <v>7</v>
      </c>
      <c r="AA510">
        <f t="shared" si="68"/>
        <v>3</v>
      </c>
      <c r="AB510">
        <f t="shared" si="69"/>
        <v>2024</v>
      </c>
      <c r="AC510" t="str">
        <f t="shared" si="70"/>
        <v>Unique</v>
      </c>
      <c r="AD510" t="str">
        <f t="shared" si="71"/>
        <v>Clean</v>
      </c>
    </row>
    <row r="511" spans="1:30" x14ac:dyDescent="0.3">
      <c r="A511" t="s">
        <v>1636</v>
      </c>
      <c r="B511" s="2">
        <v>45789</v>
      </c>
      <c r="C511" s="2">
        <v>45791</v>
      </c>
      <c r="D511" t="s">
        <v>1637</v>
      </c>
      <c r="E511" t="s">
        <v>88</v>
      </c>
      <c r="F511" t="s">
        <v>33</v>
      </c>
      <c r="G511" t="s">
        <v>72</v>
      </c>
      <c r="H511" t="s">
        <v>189</v>
      </c>
      <c r="I511" t="s">
        <v>190</v>
      </c>
      <c r="J511" t="s">
        <v>83</v>
      </c>
      <c r="K511" t="s">
        <v>284</v>
      </c>
      <c r="L511" t="s">
        <v>1638</v>
      </c>
      <c r="M511" t="s">
        <v>53</v>
      </c>
      <c r="N511">
        <v>8</v>
      </c>
      <c r="O511">
        <v>3631.44</v>
      </c>
      <c r="P511" s="3">
        <v>0.2</v>
      </c>
      <c r="Q511">
        <v>23241.22</v>
      </c>
      <c r="R511">
        <v>17220.900000000001</v>
      </c>
      <c r="S511">
        <v>6020.32</v>
      </c>
      <c r="T511" t="s">
        <v>41</v>
      </c>
      <c r="U511" t="s">
        <v>42</v>
      </c>
      <c r="V511" s="3">
        <f t="shared" si="63"/>
        <v>0.2</v>
      </c>
      <c r="W511">
        <f t="shared" si="64"/>
        <v>23241.216</v>
      </c>
      <c r="X511">
        <f t="shared" si="65"/>
        <v>6020.3159999999989</v>
      </c>
      <c r="Y511" s="4">
        <f t="shared" si="66"/>
        <v>0.25903618812371948</v>
      </c>
      <c r="Z511">
        <f t="shared" si="67"/>
        <v>2</v>
      </c>
      <c r="AA511">
        <f t="shared" si="68"/>
        <v>5</v>
      </c>
      <c r="AB511">
        <f t="shared" si="69"/>
        <v>2025</v>
      </c>
      <c r="AC511" t="str">
        <f t="shared" si="70"/>
        <v>Unique</v>
      </c>
      <c r="AD511" t="str">
        <f t="shared" si="71"/>
        <v>Clean</v>
      </c>
    </row>
    <row r="512" spans="1:30" x14ac:dyDescent="0.3">
      <c r="A512" t="s">
        <v>1639</v>
      </c>
      <c r="B512" s="2">
        <v>45583</v>
      </c>
      <c r="C512" s="2">
        <v>45586</v>
      </c>
      <c r="D512" t="s">
        <v>1640</v>
      </c>
      <c r="E512" t="s">
        <v>137</v>
      </c>
      <c r="F512" t="s">
        <v>33</v>
      </c>
      <c r="G512" t="s">
        <v>63</v>
      </c>
      <c r="H512" t="s">
        <v>184</v>
      </c>
      <c r="I512" t="s">
        <v>185</v>
      </c>
      <c r="J512" t="s">
        <v>37</v>
      </c>
      <c r="K512" t="s">
        <v>133</v>
      </c>
      <c r="L512" t="s">
        <v>1641</v>
      </c>
      <c r="M512" t="s">
        <v>40</v>
      </c>
      <c r="N512">
        <v>2</v>
      </c>
      <c r="O512">
        <v>4238.51</v>
      </c>
      <c r="P512" s="3">
        <v>0</v>
      </c>
      <c r="Q512">
        <v>8477.02</v>
      </c>
      <c r="R512">
        <v>6884.96</v>
      </c>
      <c r="S512">
        <v>1592.06</v>
      </c>
      <c r="T512" t="s">
        <v>41</v>
      </c>
      <c r="U512" t="s">
        <v>42</v>
      </c>
      <c r="V512" s="3">
        <f t="shared" si="63"/>
        <v>0</v>
      </c>
      <c r="W512">
        <f t="shared" si="64"/>
        <v>8477.02</v>
      </c>
      <c r="X512">
        <f t="shared" si="65"/>
        <v>1592.0600000000004</v>
      </c>
      <c r="Y512" s="4">
        <f t="shared" si="66"/>
        <v>0.18780892341884298</v>
      </c>
      <c r="Z512">
        <f t="shared" si="67"/>
        <v>3</v>
      </c>
      <c r="AA512">
        <f t="shared" si="68"/>
        <v>10</v>
      </c>
      <c r="AB512">
        <f t="shared" si="69"/>
        <v>2024</v>
      </c>
      <c r="AC512" t="str">
        <f t="shared" si="70"/>
        <v>Unique</v>
      </c>
      <c r="AD512" t="str">
        <f t="shared" si="71"/>
        <v>Clean</v>
      </c>
    </row>
    <row r="513" spans="1:30" x14ac:dyDescent="0.3">
      <c r="A513" t="s">
        <v>1642</v>
      </c>
      <c r="B513" s="2">
        <v>45588</v>
      </c>
      <c r="C513" s="2">
        <v>45591</v>
      </c>
      <c r="D513" t="s">
        <v>1643</v>
      </c>
      <c r="E513" t="s">
        <v>141</v>
      </c>
      <c r="F513" t="s">
        <v>33</v>
      </c>
      <c r="G513" t="s">
        <v>72</v>
      </c>
      <c r="H513" t="s">
        <v>81</v>
      </c>
      <c r="I513" t="s">
        <v>82</v>
      </c>
      <c r="J513" t="s">
        <v>50</v>
      </c>
      <c r="K513" t="s">
        <v>167</v>
      </c>
      <c r="L513" t="s">
        <v>1644</v>
      </c>
      <c r="M513" t="s">
        <v>68</v>
      </c>
      <c r="N513">
        <v>9</v>
      </c>
      <c r="O513">
        <v>544.27</v>
      </c>
      <c r="P513" s="3">
        <v>0.25</v>
      </c>
      <c r="Q513">
        <v>3673.82</v>
      </c>
      <c r="R513">
        <v>2088.15</v>
      </c>
      <c r="S513">
        <v>1585.67</v>
      </c>
      <c r="T513" t="s">
        <v>41</v>
      </c>
      <c r="U513" t="s">
        <v>42</v>
      </c>
      <c r="V513" s="3">
        <f t="shared" si="63"/>
        <v>0.25</v>
      </c>
      <c r="W513">
        <f t="shared" si="64"/>
        <v>3673.8225000000002</v>
      </c>
      <c r="X513">
        <f t="shared" si="65"/>
        <v>1585.6725000000001</v>
      </c>
      <c r="Y513" s="4">
        <f t="shared" si="66"/>
        <v>0.43161380278987349</v>
      </c>
      <c r="Z513">
        <f t="shared" si="67"/>
        <v>3</v>
      </c>
      <c r="AA513">
        <f t="shared" si="68"/>
        <v>10</v>
      </c>
      <c r="AB513">
        <f t="shared" si="69"/>
        <v>2024</v>
      </c>
      <c r="AC513" t="str">
        <f t="shared" si="70"/>
        <v>Unique</v>
      </c>
      <c r="AD513" t="str">
        <f t="shared" si="71"/>
        <v>Clean</v>
      </c>
    </row>
    <row r="514" spans="1:30" x14ac:dyDescent="0.3">
      <c r="A514" t="s">
        <v>1645</v>
      </c>
      <c r="B514" s="2">
        <v>45718</v>
      </c>
      <c r="C514" s="2">
        <v>45719</v>
      </c>
      <c r="D514" t="s">
        <v>1257</v>
      </c>
      <c r="E514" t="s">
        <v>56</v>
      </c>
      <c r="F514" t="s">
        <v>99</v>
      </c>
      <c r="G514" t="s">
        <v>63</v>
      </c>
      <c r="H514" t="s">
        <v>194</v>
      </c>
      <c r="I514" t="s">
        <v>195</v>
      </c>
      <c r="J514" t="s">
        <v>37</v>
      </c>
      <c r="K514" t="s">
        <v>100</v>
      </c>
      <c r="L514" t="s">
        <v>1646</v>
      </c>
      <c r="M514" t="s">
        <v>40</v>
      </c>
      <c r="N514">
        <v>2</v>
      </c>
      <c r="O514">
        <v>4031.45</v>
      </c>
      <c r="P514" s="3">
        <v>0.25</v>
      </c>
      <c r="Q514">
        <v>6047.17</v>
      </c>
      <c r="R514">
        <v>3368.79</v>
      </c>
      <c r="S514">
        <v>2678.38</v>
      </c>
      <c r="T514" t="s">
        <v>41</v>
      </c>
      <c r="U514" t="s">
        <v>42</v>
      </c>
      <c r="V514" s="3">
        <f t="shared" ref="V514:V577" si="72">IF(P514="",0,IF(ISNUMBER(P514),ABS(P514),IF(RIGHT(P514,1)="%",VALUE(LEFT(P514,LEN(P514)-1))/100,P514)))</f>
        <v>0.25</v>
      </c>
      <c r="W514">
        <f t="shared" ref="W514:W577" si="73">N514*O514*(1-V514)</f>
        <v>6047.1749999999993</v>
      </c>
      <c r="X514">
        <f t="shared" ref="X514:X577" si="74">W514-R514</f>
        <v>2678.3849999999993</v>
      </c>
      <c r="Y514" s="4">
        <f t="shared" ref="Y514:Y577" si="75">IF(W514=0,0,X514/W514)</f>
        <v>0.44291508018206843</v>
      </c>
      <c r="Z514">
        <f t="shared" ref="Z514:Z577" si="76">C514-B514</f>
        <v>1</v>
      </c>
      <c r="AA514">
        <f t="shared" ref="AA514:AA577" si="77">MONTH(B514)</f>
        <v>3</v>
      </c>
      <c r="AB514">
        <f t="shared" ref="AB514:AB577" si="78">YEAR(B514)</f>
        <v>2025</v>
      </c>
      <c r="AC514" t="str">
        <f t="shared" ref="AC514:AC577" si="79">IF(COUNTIF($A$2:$A$913,A514)&gt;1,"Conflict - Review","Unique")</f>
        <v>Unique</v>
      </c>
      <c r="AD514" t="str">
        <f t="shared" ref="AD514:AD577" si="80">IF(OR(C514&lt;B514,AND(ISNUMBER(P514),P514&lt;0),V514&gt;0.65,AC514="Conflict - Review"),"Invalid",IF(OR(G514="Unknown",M514="Unknown",T514="Failed",U514="Cancelled"),"Warning","Clean"))</f>
        <v>Clean</v>
      </c>
    </row>
    <row r="515" spans="1:30" x14ac:dyDescent="0.3">
      <c r="A515" t="s">
        <v>1647</v>
      </c>
      <c r="B515" s="2">
        <v>45835</v>
      </c>
      <c r="C515" s="2">
        <v>45840</v>
      </c>
      <c r="D515" t="s">
        <v>1648</v>
      </c>
      <c r="E515" t="s">
        <v>137</v>
      </c>
      <c r="F515" t="s">
        <v>99</v>
      </c>
      <c r="G515" t="s">
        <v>63</v>
      </c>
      <c r="H515" t="s">
        <v>194</v>
      </c>
      <c r="I515" t="s">
        <v>195</v>
      </c>
      <c r="J515" t="s">
        <v>83</v>
      </c>
      <c r="K515" t="s">
        <v>84</v>
      </c>
      <c r="L515" t="s">
        <v>1649</v>
      </c>
      <c r="M515" t="s">
        <v>59</v>
      </c>
      <c r="N515">
        <v>6</v>
      </c>
      <c r="O515">
        <v>1099.49</v>
      </c>
      <c r="P515" s="3">
        <v>0.1</v>
      </c>
      <c r="Q515">
        <v>6212.38</v>
      </c>
      <c r="R515">
        <v>4088.46</v>
      </c>
      <c r="S515">
        <v>1848.79</v>
      </c>
      <c r="T515" t="s">
        <v>41</v>
      </c>
      <c r="U515" t="s">
        <v>42</v>
      </c>
      <c r="V515" s="3">
        <f t="shared" si="72"/>
        <v>0.1</v>
      </c>
      <c r="W515">
        <f t="shared" si="73"/>
        <v>5937.246000000001</v>
      </c>
      <c r="X515">
        <f t="shared" si="74"/>
        <v>1848.786000000001</v>
      </c>
      <c r="Y515" s="4">
        <f t="shared" si="75"/>
        <v>0.31138780505304997</v>
      </c>
      <c r="Z515">
        <f t="shared" si="76"/>
        <v>5</v>
      </c>
      <c r="AA515">
        <f t="shared" si="77"/>
        <v>6</v>
      </c>
      <c r="AB515">
        <f t="shared" si="78"/>
        <v>2025</v>
      </c>
      <c r="AC515" t="str">
        <f t="shared" si="79"/>
        <v>Unique</v>
      </c>
      <c r="AD515" t="str">
        <f t="shared" si="80"/>
        <v>Clean</v>
      </c>
    </row>
    <row r="516" spans="1:30" x14ac:dyDescent="0.3">
      <c r="A516" t="s">
        <v>1650</v>
      </c>
      <c r="B516" s="2">
        <v>45614</v>
      </c>
      <c r="C516" s="2">
        <v>45618</v>
      </c>
      <c r="D516" t="s">
        <v>1651</v>
      </c>
      <c r="E516" t="s">
        <v>32</v>
      </c>
      <c r="F516" t="s">
        <v>104</v>
      </c>
      <c r="G516" t="s">
        <v>63</v>
      </c>
      <c r="H516" t="s">
        <v>194</v>
      </c>
      <c r="I516" t="s">
        <v>195</v>
      </c>
      <c r="J516" t="s">
        <v>83</v>
      </c>
      <c r="K516" t="s">
        <v>84</v>
      </c>
      <c r="L516" t="s">
        <v>1652</v>
      </c>
      <c r="M516" t="s">
        <v>68</v>
      </c>
      <c r="N516">
        <v>6</v>
      </c>
      <c r="O516">
        <v>3872.94</v>
      </c>
      <c r="P516" s="3">
        <v>0.1</v>
      </c>
      <c r="Q516">
        <v>20913.88</v>
      </c>
      <c r="R516">
        <v>11684.68</v>
      </c>
      <c r="S516">
        <v>9229.2000000000007</v>
      </c>
      <c r="T516" t="s">
        <v>41</v>
      </c>
      <c r="U516" t="s">
        <v>42</v>
      </c>
      <c r="V516" s="3">
        <f t="shared" si="72"/>
        <v>0.1</v>
      </c>
      <c r="W516">
        <f t="shared" si="73"/>
        <v>20913.876</v>
      </c>
      <c r="X516">
        <f t="shared" si="74"/>
        <v>9229.1959999999999</v>
      </c>
      <c r="Y516" s="4">
        <f t="shared" si="75"/>
        <v>0.44129533903710627</v>
      </c>
      <c r="Z516">
        <f t="shared" si="76"/>
        <v>4</v>
      </c>
      <c r="AA516">
        <f t="shared" si="77"/>
        <v>11</v>
      </c>
      <c r="AB516">
        <f t="shared" si="78"/>
        <v>2024</v>
      </c>
      <c r="AC516" t="str">
        <f t="shared" si="79"/>
        <v>Unique</v>
      </c>
      <c r="AD516" t="str">
        <f t="shared" si="80"/>
        <v>Clean</v>
      </c>
    </row>
    <row r="517" spans="1:30" x14ac:dyDescent="0.3">
      <c r="A517" t="s">
        <v>1653</v>
      </c>
      <c r="B517" s="2">
        <v>45758</v>
      </c>
      <c r="C517" s="2">
        <v>45758</v>
      </c>
      <c r="D517" t="s">
        <v>1654</v>
      </c>
      <c r="E517" t="s">
        <v>127</v>
      </c>
      <c r="F517" t="s">
        <v>99</v>
      </c>
      <c r="G517" t="s">
        <v>34</v>
      </c>
      <c r="H517" t="s">
        <v>360</v>
      </c>
      <c r="I517" t="s">
        <v>361</v>
      </c>
      <c r="J517" t="s">
        <v>37</v>
      </c>
      <c r="K517" t="s">
        <v>38</v>
      </c>
      <c r="L517" t="s">
        <v>1655</v>
      </c>
      <c r="M517" t="s">
        <v>68</v>
      </c>
      <c r="N517">
        <v>1</v>
      </c>
      <c r="O517">
        <v>4458.49</v>
      </c>
      <c r="P517" s="3">
        <v>-7.0000000000000007E-2</v>
      </c>
      <c r="Q517">
        <v>3566.79</v>
      </c>
      <c r="R517">
        <v>2083.41</v>
      </c>
      <c r="S517">
        <v>1483.38</v>
      </c>
      <c r="T517" t="s">
        <v>41</v>
      </c>
      <c r="U517" t="s">
        <v>42</v>
      </c>
      <c r="V517" s="3">
        <f t="shared" si="72"/>
        <v>7.0000000000000007E-2</v>
      </c>
      <c r="W517">
        <f t="shared" si="73"/>
        <v>4146.3956999999991</v>
      </c>
      <c r="X517">
        <f t="shared" si="74"/>
        <v>2062.9856999999993</v>
      </c>
      <c r="Y517" s="4">
        <f t="shared" si="75"/>
        <v>0.49753710192203793</v>
      </c>
      <c r="Z517">
        <f t="shared" si="76"/>
        <v>0</v>
      </c>
      <c r="AA517">
        <f t="shared" si="77"/>
        <v>4</v>
      </c>
      <c r="AB517">
        <f t="shared" si="78"/>
        <v>2025</v>
      </c>
      <c r="AC517" t="str">
        <f t="shared" si="79"/>
        <v>Unique</v>
      </c>
      <c r="AD517" t="str">
        <f t="shared" si="80"/>
        <v>Invalid</v>
      </c>
    </row>
    <row r="518" spans="1:30" x14ac:dyDescent="0.3">
      <c r="A518" t="s">
        <v>1656</v>
      </c>
      <c r="B518" s="2">
        <v>45563</v>
      </c>
      <c r="C518" s="2">
        <v>45569</v>
      </c>
      <c r="D518" t="s">
        <v>1657</v>
      </c>
      <c r="E518" t="s">
        <v>274</v>
      </c>
      <c r="F518" t="s">
        <v>104</v>
      </c>
      <c r="G518" t="s">
        <v>34</v>
      </c>
      <c r="H518" t="s">
        <v>360</v>
      </c>
      <c r="I518" t="s">
        <v>361</v>
      </c>
      <c r="J518" t="s">
        <v>83</v>
      </c>
      <c r="K518" t="s">
        <v>89</v>
      </c>
      <c r="L518" t="s">
        <v>1658</v>
      </c>
      <c r="M518" t="s">
        <v>68</v>
      </c>
      <c r="N518">
        <v>1</v>
      </c>
      <c r="O518">
        <v>2233.1799999999998</v>
      </c>
      <c r="P518" s="3">
        <v>0</v>
      </c>
      <c r="Q518">
        <v>2233.1799999999998</v>
      </c>
      <c r="R518">
        <v>1585.82</v>
      </c>
      <c r="S518">
        <v>647.36</v>
      </c>
      <c r="T518" t="s">
        <v>164</v>
      </c>
      <c r="U518" t="s">
        <v>112</v>
      </c>
      <c r="V518" s="3">
        <f t="shared" si="72"/>
        <v>0</v>
      </c>
      <c r="W518">
        <f t="shared" si="73"/>
        <v>2233.1799999999998</v>
      </c>
      <c r="X518">
        <f t="shared" si="74"/>
        <v>647.3599999999999</v>
      </c>
      <c r="Y518" s="4">
        <f t="shared" si="75"/>
        <v>0.28988258895386843</v>
      </c>
      <c r="Z518">
        <f t="shared" si="76"/>
        <v>6</v>
      </c>
      <c r="AA518">
        <f t="shared" si="77"/>
        <v>9</v>
      </c>
      <c r="AB518">
        <f t="shared" si="78"/>
        <v>2024</v>
      </c>
      <c r="AC518" t="str">
        <f t="shared" si="79"/>
        <v>Unique</v>
      </c>
      <c r="AD518" t="str">
        <f t="shared" si="80"/>
        <v>Warning</v>
      </c>
    </row>
    <row r="519" spans="1:30" x14ac:dyDescent="0.3">
      <c r="A519" t="s">
        <v>1659</v>
      </c>
      <c r="B519" s="2">
        <v>45802</v>
      </c>
      <c r="C519" s="2">
        <v>45804</v>
      </c>
      <c r="D519" t="s">
        <v>1660</v>
      </c>
      <c r="E519" t="s">
        <v>127</v>
      </c>
      <c r="F519" t="s">
        <v>33</v>
      </c>
      <c r="G519" t="s">
        <v>47</v>
      </c>
      <c r="H519" t="s">
        <v>48</v>
      </c>
      <c r="I519" t="s">
        <v>49</v>
      </c>
      <c r="J519" t="s">
        <v>50</v>
      </c>
      <c r="K519" t="s">
        <v>66</v>
      </c>
      <c r="L519" t="s">
        <v>1661</v>
      </c>
      <c r="M519" t="s">
        <v>40</v>
      </c>
      <c r="N519">
        <v>7</v>
      </c>
      <c r="O519">
        <v>2123.2800000000002</v>
      </c>
      <c r="P519" s="3">
        <v>0.2</v>
      </c>
      <c r="Q519">
        <v>11890.37</v>
      </c>
      <c r="R519">
        <v>9234.5300000000007</v>
      </c>
      <c r="S519">
        <v>2655.84</v>
      </c>
      <c r="T519" t="s">
        <v>111</v>
      </c>
      <c r="U519" t="s">
        <v>112</v>
      </c>
      <c r="V519" s="3">
        <f t="shared" si="72"/>
        <v>0.2</v>
      </c>
      <c r="W519">
        <f t="shared" si="73"/>
        <v>11890.368000000002</v>
      </c>
      <c r="X519">
        <f t="shared" si="74"/>
        <v>2655.8380000000016</v>
      </c>
      <c r="Y519" s="4">
        <f t="shared" si="75"/>
        <v>0.22336045444514427</v>
      </c>
      <c r="Z519">
        <f t="shared" si="76"/>
        <v>2</v>
      </c>
      <c r="AA519">
        <f t="shared" si="77"/>
        <v>5</v>
      </c>
      <c r="AB519">
        <f t="shared" si="78"/>
        <v>2025</v>
      </c>
      <c r="AC519" t="str">
        <f t="shared" si="79"/>
        <v>Unique</v>
      </c>
      <c r="AD519" t="str">
        <f t="shared" si="80"/>
        <v>Clean</v>
      </c>
    </row>
    <row r="520" spans="1:30" x14ac:dyDescent="0.3">
      <c r="A520" t="s">
        <v>1662</v>
      </c>
      <c r="B520" s="2">
        <v>45777</v>
      </c>
      <c r="C520" s="2">
        <v>45773</v>
      </c>
      <c r="D520" t="s">
        <v>1663</v>
      </c>
      <c r="E520" t="s">
        <v>171</v>
      </c>
      <c r="F520" t="s">
        <v>99</v>
      </c>
      <c r="G520" t="s">
        <v>47</v>
      </c>
      <c r="H520" t="s">
        <v>48</v>
      </c>
      <c r="I520" t="s">
        <v>49</v>
      </c>
      <c r="J520" t="s">
        <v>50</v>
      </c>
      <c r="K520" t="s">
        <v>51</v>
      </c>
      <c r="L520" t="s">
        <v>1664</v>
      </c>
      <c r="M520" t="s">
        <v>59</v>
      </c>
      <c r="N520">
        <v>7</v>
      </c>
      <c r="O520">
        <v>1604.13</v>
      </c>
      <c r="P520" s="3">
        <v>0.25</v>
      </c>
      <c r="Q520">
        <v>8421.68</v>
      </c>
      <c r="R520">
        <v>6534.47</v>
      </c>
      <c r="S520">
        <v>1887.21</v>
      </c>
      <c r="T520" t="s">
        <v>41</v>
      </c>
      <c r="U520" t="s">
        <v>77</v>
      </c>
      <c r="V520" s="3">
        <f t="shared" si="72"/>
        <v>0.25</v>
      </c>
      <c r="W520">
        <f t="shared" si="73"/>
        <v>8421.682499999999</v>
      </c>
      <c r="X520">
        <f t="shared" si="74"/>
        <v>1887.2124999999987</v>
      </c>
      <c r="Y520" s="4">
        <f t="shared" si="75"/>
        <v>0.22408972316398759</v>
      </c>
      <c r="Z520">
        <f t="shared" si="76"/>
        <v>-4</v>
      </c>
      <c r="AA520">
        <f t="shared" si="77"/>
        <v>4</v>
      </c>
      <c r="AB520">
        <f t="shared" si="78"/>
        <v>2025</v>
      </c>
      <c r="AC520" t="str">
        <f t="shared" si="79"/>
        <v>Unique</v>
      </c>
      <c r="AD520" t="str">
        <f t="shared" si="80"/>
        <v>Invalid</v>
      </c>
    </row>
    <row r="521" spans="1:30" x14ac:dyDescent="0.3">
      <c r="A521" t="s">
        <v>1665</v>
      </c>
      <c r="B521" s="2">
        <v>45841</v>
      </c>
      <c r="C521" s="2">
        <v>45845</v>
      </c>
      <c r="D521" t="s">
        <v>1666</v>
      </c>
      <c r="E521" t="s">
        <v>123</v>
      </c>
      <c r="F521" t="s">
        <v>33</v>
      </c>
      <c r="G521" t="s">
        <v>34</v>
      </c>
      <c r="H521" t="s">
        <v>145</v>
      </c>
      <c r="I521" t="s">
        <v>146</v>
      </c>
      <c r="J521" t="s">
        <v>50</v>
      </c>
      <c r="K521" t="s">
        <v>51</v>
      </c>
      <c r="L521" t="s">
        <v>1667</v>
      </c>
      <c r="M521" t="s">
        <v>68</v>
      </c>
      <c r="N521">
        <v>4</v>
      </c>
      <c r="O521">
        <v>4365.21</v>
      </c>
      <c r="P521" s="3">
        <v>0.2</v>
      </c>
      <c r="Q521">
        <v>13968.67</v>
      </c>
      <c r="R521">
        <v>8857.58</v>
      </c>
      <c r="S521">
        <v>5111.09</v>
      </c>
      <c r="T521" t="s">
        <v>120</v>
      </c>
      <c r="U521" t="s">
        <v>77</v>
      </c>
      <c r="V521" s="3">
        <f t="shared" si="72"/>
        <v>0.2</v>
      </c>
      <c r="W521">
        <f t="shared" si="73"/>
        <v>13968.672</v>
      </c>
      <c r="X521">
        <f t="shared" si="74"/>
        <v>5111.0920000000006</v>
      </c>
      <c r="Y521" s="4">
        <f t="shared" si="75"/>
        <v>0.36589677243477409</v>
      </c>
      <c r="Z521">
        <f t="shared" si="76"/>
        <v>4</v>
      </c>
      <c r="AA521">
        <f t="shared" si="77"/>
        <v>7</v>
      </c>
      <c r="AB521">
        <f t="shared" si="78"/>
        <v>2025</v>
      </c>
      <c r="AC521" t="str">
        <f t="shared" si="79"/>
        <v>Unique</v>
      </c>
      <c r="AD521" t="str">
        <f t="shared" si="80"/>
        <v>Warning</v>
      </c>
    </row>
    <row r="522" spans="1:30" x14ac:dyDescent="0.3">
      <c r="A522" t="s">
        <v>1668</v>
      </c>
      <c r="B522" s="2">
        <v>45489</v>
      </c>
      <c r="C522" s="2">
        <v>45496</v>
      </c>
      <c r="D522" t="s">
        <v>1669</v>
      </c>
      <c r="E522" t="s">
        <v>137</v>
      </c>
      <c r="F522" t="s">
        <v>104</v>
      </c>
      <c r="G522" t="s">
        <v>63</v>
      </c>
      <c r="H522" t="s">
        <v>184</v>
      </c>
      <c r="I522" t="s">
        <v>185</v>
      </c>
      <c r="J522" t="s">
        <v>83</v>
      </c>
      <c r="K522" t="s">
        <v>284</v>
      </c>
      <c r="L522" t="s">
        <v>1670</v>
      </c>
      <c r="M522" t="s">
        <v>53</v>
      </c>
      <c r="N522">
        <v>1</v>
      </c>
      <c r="O522">
        <v>1695.91</v>
      </c>
      <c r="P522" s="3">
        <v>0.05</v>
      </c>
      <c r="Q522">
        <v>1611.11</v>
      </c>
      <c r="R522">
        <v>895.15</v>
      </c>
      <c r="S522">
        <v>715.96</v>
      </c>
      <c r="T522" t="s">
        <v>41</v>
      </c>
      <c r="U522" t="s">
        <v>42</v>
      </c>
      <c r="V522" s="3">
        <f t="shared" si="72"/>
        <v>0.05</v>
      </c>
      <c r="W522">
        <f t="shared" si="73"/>
        <v>1611.1144999999999</v>
      </c>
      <c r="X522">
        <f t="shared" si="74"/>
        <v>715.96449999999993</v>
      </c>
      <c r="Y522" s="4">
        <f t="shared" si="75"/>
        <v>0.44439082386757739</v>
      </c>
      <c r="Z522">
        <f t="shared" si="76"/>
        <v>7</v>
      </c>
      <c r="AA522">
        <f t="shared" si="77"/>
        <v>7</v>
      </c>
      <c r="AB522">
        <f t="shared" si="78"/>
        <v>2024</v>
      </c>
      <c r="AC522" t="str">
        <f t="shared" si="79"/>
        <v>Unique</v>
      </c>
      <c r="AD522" t="str">
        <f t="shared" si="80"/>
        <v>Clean</v>
      </c>
    </row>
    <row r="523" spans="1:30" x14ac:dyDescent="0.3">
      <c r="A523" t="s">
        <v>1671</v>
      </c>
      <c r="B523" s="2">
        <v>45741</v>
      </c>
      <c r="C523" s="2">
        <v>45748</v>
      </c>
      <c r="D523" t="s">
        <v>1672</v>
      </c>
      <c r="E523" t="s">
        <v>171</v>
      </c>
      <c r="F523" t="s">
        <v>33</v>
      </c>
      <c r="G523" t="s">
        <v>34</v>
      </c>
      <c r="H523" t="s">
        <v>131</v>
      </c>
      <c r="I523" t="s">
        <v>132</v>
      </c>
      <c r="J523" t="s">
        <v>37</v>
      </c>
      <c r="K523" t="s">
        <v>100</v>
      </c>
      <c r="L523" t="s">
        <v>1673</v>
      </c>
      <c r="M523" t="s">
        <v>40</v>
      </c>
      <c r="N523">
        <v>6</v>
      </c>
      <c r="O523">
        <v>2192.11</v>
      </c>
      <c r="P523" s="3">
        <v>0.05</v>
      </c>
      <c r="Q523">
        <v>12495.03</v>
      </c>
      <c r="R523">
        <v>9184.52</v>
      </c>
      <c r="S523">
        <v>3310.51</v>
      </c>
      <c r="T523" t="s">
        <v>41</v>
      </c>
      <c r="U523" t="s">
        <v>42</v>
      </c>
      <c r="V523" s="3">
        <f t="shared" si="72"/>
        <v>0.05</v>
      </c>
      <c r="W523">
        <f t="shared" si="73"/>
        <v>12495.027</v>
      </c>
      <c r="X523">
        <f t="shared" si="74"/>
        <v>3310.5069999999996</v>
      </c>
      <c r="Y523" s="4">
        <f t="shared" si="75"/>
        <v>0.26494596610315446</v>
      </c>
      <c r="Z523">
        <f t="shared" si="76"/>
        <v>7</v>
      </c>
      <c r="AA523">
        <f t="shared" si="77"/>
        <v>3</v>
      </c>
      <c r="AB523">
        <f t="shared" si="78"/>
        <v>2025</v>
      </c>
      <c r="AC523" t="str">
        <f t="shared" si="79"/>
        <v>Unique</v>
      </c>
      <c r="AD523" t="str">
        <f t="shared" si="80"/>
        <v>Clean</v>
      </c>
    </row>
    <row r="524" spans="1:30" x14ac:dyDescent="0.3">
      <c r="A524" t="s">
        <v>1674</v>
      </c>
      <c r="B524" s="2">
        <v>45716</v>
      </c>
      <c r="C524" s="2">
        <v>45724</v>
      </c>
      <c r="D524" t="s">
        <v>1675</v>
      </c>
      <c r="E524" t="s">
        <v>88</v>
      </c>
      <c r="F524" t="s">
        <v>46</v>
      </c>
      <c r="G524" t="s">
        <v>47</v>
      </c>
      <c r="H524" t="s">
        <v>238</v>
      </c>
      <c r="I524" t="s">
        <v>239</v>
      </c>
      <c r="J524" t="s">
        <v>83</v>
      </c>
      <c r="K524" t="s">
        <v>180</v>
      </c>
      <c r="L524" t="s">
        <v>1676</v>
      </c>
      <c r="M524" t="s">
        <v>59</v>
      </c>
      <c r="N524">
        <v>9</v>
      </c>
      <c r="O524">
        <v>3670.54</v>
      </c>
      <c r="P524" s="3">
        <v>0</v>
      </c>
      <c r="Q524">
        <v>33034.86</v>
      </c>
      <c r="R524">
        <v>24539.83</v>
      </c>
      <c r="S524">
        <v>8495.0300000000007</v>
      </c>
      <c r="T524" t="s">
        <v>41</v>
      </c>
      <c r="U524" t="s">
        <v>42</v>
      </c>
      <c r="V524" s="3">
        <f t="shared" si="72"/>
        <v>0</v>
      </c>
      <c r="W524">
        <f t="shared" si="73"/>
        <v>33034.86</v>
      </c>
      <c r="X524">
        <f t="shared" si="74"/>
        <v>8495.0299999999988</v>
      </c>
      <c r="Y524" s="4">
        <f t="shared" si="75"/>
        <v>0.25715350390466307</v>
      </c>
      <c r="Z524">
        <f t="shared" si="76"/>
        <v>8</v>
      </c>
      <c r="AA524">
        <f t="shared" si="77"/>
        <v>2</v>
      </c>
      <c r="AB524">
        <f t="shared" si="78"/>
        <v>2025</v>
      </c>
      <c r="AC524" t="str">
        <f t="shared" si="79"/>
        <v>Unique</v>
      </c>
      <c r="AD524" t="str">
        <f t="shared" si="80"/>
        <v>Clean</v>
      </c>
    </row>
    <row r="525" spans="1:30" x14ac:dyDescent="0.3">
      <c r="A525" t="s">
        <v>1677</v>
      </c>
      <c r="B525" s="2">
        <v>45384</v>
      </c>
      <c r="C525" s="2">
        <v>45385</v>
      </c>
      <c r="D525" t="s">
        <v>1678</v>
      </c>
      <c r="E525" t="s">
        <v>274</v>
      </c>
      <c r="F525" t="s">
        <v>104</v>
      </c>
      <c r="G525" t="s">
        <v>72</v>
      </c>
      <c r="H525" t="s">
        <v>199</v>
      </c>
      <c r="I525" t="s">
        <v>200</v>
      </c>
      <c r="J525" t="s">
        <v>37</v>
      </c>
      <c r="K525" t="s">
        <v>38</v>
      </c>
      <c r="L525" t="s">
        <v>1679</v>
      </c>
      <c r="M525" t="s">
        <v>40</v>
      </c>
      <c r="N525">
        <v>2</v>
      </c>
      <c r="O525">
        <v>2902.63</v>
      </c>
      <c r="P525" s="3">
        <v>0</v>
      </c>
      <c r="Q525">
        <v>5805.26</v>
      </c>
      <c r="R525">
        <v>4654.3599999999997</v>
      </c>
      <c r="S525">
        <v>1150.9000000000001</v>
      </c>
      <c r="T525" t="s">
        <v>41</v>
      </c>
      <c r="U525" t="s">
        <v>112</v>
      </c>
      <c r="V525" s="3">
        <f t="shared" si="72"/>
        <v>0</v>
      </c>
      <c r="W525">
        <f t="shared" si="73"/>
        <v>5805.26</v>
      </c>
      <c r="X525">
        <f t="shared" si="74"/>
        <v>1150.9000000000005</v>
      </c>
      <c r="Y525" s="4">
        <f t="shared" si="75"/>
        <v>0.19825124111581574</v>
      </c>
      <c r="Z525">
        <f t="shared" si="76"/>
        <v>1</v>
      </c>
      <c r="AA525">
        <f t="shared" si="77"/>
        <v>4</v>
      </c>
      <c r="AB525">
        <f t="shared" si="78"/>
        <v>2024</v>
      </c>
      <c r="AC525" t="str">
        <f t="shared" si="79"/>
        <v>Unique</v>
      </c>
      <c r="AD525" t="str">
        <f t="shared" si="80"/>
        <v>Clean</v>
      </c>
    </row>
    <row r="526" spans="1:30" x14ac:dyDescent="0.3">
      <c r="A526" t="s">
        <v>1680</v>
      </c>
      <c r="B526" s="2">
        <v>45626</v>
      </c>
      <c r="C526" s="2">
        <v>45627</v>
      </c>
      <c r="D526" t="s">
        <v>1681</v>
      </c>
      <c r="E526" t="s">
        <v>71</v>
      </c>
      <c r="F526" t="s">
        <v>99</v>
      </c>
      <c r="G526" t="s">
        <v>72</v>
      </c>
      <c r="H526" t="s">
        <v>189</v>
      </c>
      <c r="I526" t="s">
        <v>190</v>
      </c>
      <c r="J526" t="s">
        <v>50</v>
      </c>
      <c r="K526" t="s">
        <v>75</v>
      </c>
      <c r="L526" t="s">
        <v>1682</v>
      </c>
      <c r="M526" t="s">
        <v>59</v>
      </c>
      <c r="N526">
        <v>9</v>
      </c>
      <c r="O526">
        <v>4207.3599999999997</v>
      </c>
      <c r="P526" s="3">
        <v>0.1</v>
      </c>
      <c r="Q526">
        <v>34079.620000000003</v>
      </c>
      <c r="R526">
        <v>21871.39</v>
      </c>
      <c r="S526">
        <v>12208.23</v>
      </c>
      <c r="T526" t="s">
        <v>41</v>
      </c>
      <c r="U526" t="s">
        <v>42</v>
      </c>
      <c r="V526" s="3">
        <f t="shared" si="72"/>
        <v>0.1</v>
      </c>
      <c r="W526">
        <f t="shared" si="73"/>
        <v>34079.616000000002</v>
      </c>
      <c r="X526">
        <f t="shared" si="74"/>
        <v>12208.226000000002</v>
      </c>
      <c r="Y526" s="4">
        <f t="shared" si="75"/>
        <v>0.35822663025311091</v>
      </c>
      <c r="Z526">
        <f t="shared" si="76"/>
        <v>1</v>
      </c>
      <c r="AA526">
        <f t="shared" si="77"/>
        <v>11</v>
      </c>
      <c r="AB526">
        <f t="shared" si="78"/>
        <v>2024</v>
      </c>
      <c r="AC526" t="str">
        <f t="shared" si="79"/>
        <v>Unique</v>
      </c>
      <c r="AD526" t="str">
        <f t="shared" si="80"/>
        <v>Clean</v>
      </c>
    </row>
    <row r="527" spans="1:30" x14ac:dyDescent="0.3">
      <c r="A527" t="s">
        <v>1683</v>
      </c>
      <c r="B527" s="2">
        <v>45582</v>
      </c>
      <c r="C527" s="2">
        <v>45582</v>
      </c>
      <c r="D527" t="s">
        <v>1684</v>
      </c>
      <c r="E527" t="s">
        <v>123</v>
      </c>
      <c r="F527" t="s">
        <v>104</v>
      </c>
      <c r="G527" t="s">
        <v>47</v>
      </c>
      <c r="H527" t="s">
        <v>108</v>
      </c>
      <c r="I527" t="s">
        <v>109</v>
      </c>
      <c r="J527" t="s">
        <v>50</v>
      </c>
      <c r="K527" t="s">
        <v>75</v>
      </c>
      <c r="L527" t="s">
        <v>1685</v>
      </c>
      <c r="M527" t="s">
        <v>68</v>
      </c>
      <c r="N527">
        <v>5</v>
      </c>
      <c r="O527">
        <v>2524.4</v>
      </c>
      <c r="P527" s="3">
        <v>0.1</v>
      </c>
      <c r="Q527">
        <v>11359.8</v>
      </c>
      <c r="R527">
        <v>7062.44</v>
      </c>
      <c r="S527">
        <v>4297.3599999999997</v>
      </c>
      <c r="T527" t="s">
        <v>41</v>
      </c>
      <c r="U527" t="s">
        <v>42</v>
      </c>
      <c r="V527" s="3">
        <f t="shared" si="72"/>
        <v>0.1</v>
      </c>
      <c r="W527">
        <f t="shared" si="73"/>
        <v>11359.800000000001</v>
      </c>
      <c r="X527">
        <f t="shared" si="74"/>
        <v>4297.3600000000015</v>
      </c>
      <c r="Y527" s="4">
        <f t="shared" si="75"/>
        <v>0.37829539252451638</v>
      </c>
      <c r="Z527">
        <f t="shared" si="76"/>
        <v>0</v>
      </c>
      <c r="AA527">
        <f t="shared" si="77"/>
        <v>10</v>
      </c>
      <c r="AB527">
        <f t="shared" si="78"/>
        <v>2024</v>
      </c>
      <c r="AC527" t="str">
        <f t="shared" si="79"/>
        <v>Unique</v>
      </c>
      <c r="AD527" t="str">
        <f t="shared" si="80"/>
        <v>Clean</v>
      </c>
    </row>
    <row r="528" spans="1:30" x14ac:dyDescent="0.3">
      <c r="A528" t="s">
        <v>1686</v>
      </c>
      <c r="B528" s="2">
        <v>45856</v>
      </c>
      <c r="C528" s="2">
        <v>45859</v>
      </c>
      <c r="D528" t="s">
        <v>1687</v>
      </c>
      <c r="E528" t="s">
        <v>123</v>
      </c>
      <c r="F528" t="s">
        <v>33</v>
      </c>
      <c r="G528" t="s">
        <v>47</v>
      </c>
      <c r="H528" t="s">
        <v>48</v>
      </c>
      <c r="I528" t="s">
        <v>49</v>
      </c>
      <c r="J528" t="s">
        <v>50</v>
      </c>
      <c r="K528" t="s">
        <v>51</v>
      </c>
      <c r="L528" t="s">
        <v>1688</v>
      </c>
      <c r="M528" t="s">
        <v>40</v>
      </c>
      <c r="N528">
        <v>4</v>
      </c>
      <c r="O528">
        <v>284.04000000000002</v>
      </c>
      <c r="P528" s="3"/>
      <c r="Q528">
        <v>908.93</v>
      </c>
      <c r="R528">
        <v>572.08000000000004</v>
      </c>
      <c r="S528">
        <v>336.85</v>
      </c>
      <c r="T528" t="s">
        <v>41</v>
      </c>
      <c r="U528" t="s">
        <v>42</v>
      </c>
      <c r="V528" s="3">
        <f t="shared" si="72"/>
        <v>0</v>
      </c>
      <c r="W528">
        <f t="shared" si="73"/>
        <v>1136.1600000000001</v>
      </c>
      <c r="X528">
        <f t="shared" si="74"/>
        <v>564.08000000000004</v>
      </c>
      <c r="Y528" s="4">
        <f t="shared" si="75"/>
        <v>0.49647936910294327</v>
      </c>
      <c r="Z528">
        <f t="shared" si="76"/>
        <v>3</v>
      </c>
      <c r="AA528">
        <f t="shared" si="77"/>
        <v>7</v>
      </c>
      <c r="AB528">
        <f t="shared" si="78"/>
        <v>2025</v>
      </c>
      <c r="AC528" t="str">
        <f t="shared" si="79"/>
        <v>Unique</v>
      </c>
      <c r="AD528" t="str">
        <f t="shared" si="80"/>
        <v>Clean</v>
      </c>
    </row>
    <row r="529" spans="1:30" x14ac:dyDescent="0.3">
      <c r="A529" t="s">
        <v>1689</v>
      </c>
      <c r="B529" s="2">
        <v>45931</v>
      </c>
      <c r="C529" s="2">
        <v>45935</v>
      </c>
      <c r="D529" t="s">
        <v>1690</v>
      </c>
      <c r="E529" t="s">
        <v>98</v>
      </c>
      <c r="F529" t="s">
        <v>104</v>
      </c>
      <c r="G529" t="s">
        <v>34</v>
      </c>
      <c r="H529" t="s">
        <v>246</v>
      </c>
      <c r="I529" t="s">
        <v>247</v>
      </c>
      <c r="J529" t="s">
        <v>37</v>
      </c>
      <c r="K529" t="s">
        <v>38</v>
      </c>
      <c r="L529" t="s">
        <v>1691</v>
      </c>
      <c r="M529" t="s">
        <v>59</v>
      </c>
      <c r="N529">
        <v>5</v>
      </c>
      <c r="O529">
        <v>3247.56</v>
      </c>
      <c r="P529" s="3">
        <v>0.15</v>
      </c>
      <c r="Q529">
        <v>13802.13</v>
      </c>
      <c r="R529">
        <v>10075.93</v>
      </c>
      <c r="S529">
        <v>3726.2</v>
      </c>
      <c r="T529" t="s">
        <v>41</v>
      </c>
      <c r="U529" t="s">
        <v>42</v>
      </c>
      <c r="V529" s="3">
        <f t="shared" si="72"/>
        <v>0.15</v>
      </c>
      <c r="W529">
        <f t="shared" si="73"/>
        <v>13802.13</v>
      </c>
      <c r="X529">
        <f t="shared" si="74"/>
        <v>3726.1999999999989</v>
      </c>
      <c r="Y529" s="4">
        <f t="shared" si="75"/>
        <v>0.26997282303528508</v>
      </c>
      <c r="Z529">
        <f t="shared" si="76"/>
        <v>4</v>
      </c>
      <c r="AA529">
        <f t="shared" si="77"/>
        <v>10</v>
      </c>
      <c r="AB529">
        <f t="shared" si="78"/>
        <v>2025</v>
      </c>
      <c r="AC529" t="str">
        <f t="shared" si="79"/>
        <v>Unique</v>
      </c>
      <c r="AD529" t="str">
        <f t="shared" si="80"/>
        <v>Clean</v>
      </c>
    </row>
    <row r="530" spans="1:30" x14ac:dyDescent="0.3">
      <c r="A530" t="s">
        <v>1692</v>
      </c>
      <c r="B530" s="2">
        <v>45572</v>
      </c>
      <c r="C530" s="2">
        <v>45574</v>
      </c>
      <c r="D530" t="s">
        <v>1693</v>
      </c>
      <c r="E530" t="s">
        <v>171</v>
      </c>
      <c r="F530" t="s">
        <v>33</v>
      </c>
      <c r="G530" t="s">
        <v>63</v>
      </c>
      <c r="H530" t="s">
        <v>257</v>
      </c>
      <c r="I530" t="s">
        <v>258</v>
      </c>
      <c r="J530" t="s">
        <v>37</v>
      </c>
      <c r="K530" t="s">
        <v>162</v>
      </c>
      <c r="L530" t="s">
        <v>1694</v>
      </c>
      <c r="M530" t="s">
        <v>68</v>
      </c>
      <c r="N530">
        <v>9</v>
      </c>
      <c r="O530">
        <v>3457.09</v>
      </c>
      <c r="P530" s="3">
        <v>0.05</v>
      </c>
      <c r="Q530">
        <v>29558.12</v>
      </c>
      <c r="R530">
        <v>21302.13</v>
      </c>
      <c r="S530">
        <v>8255.99</v>
      </c>
      <c r="T530" t="s">
        <v>120</v>
      </c>
      <c r="U530" t="s">
        <v>112</v>
      </c>
      <c r="V530" s="3">
        <f t="shared" si="72"/>
        <v>0.05</v>
      </c>
      <c r="W530">
        <f t="shared" si="73"/>
        <v>29558.119500000001</v>
      </c>
      <c r="X530">
        <f t="shared" si="74"/>
        <v>8255.9894999999997</v>
      </c>
      <c r="Y530" s="4">
        <f t="shared" si="75"/>
        <v>0.27931376013281223</v>
      </c>
      <c r="Z530">
        <f t="shared" si="76"/>
        <v>2</v>
      </c>
      <c r="AA530">
        <f t="shared" si="77"/>
        <v>10</v>
      </c>
      <c r="AB530">
        <f t="shared" si="78"/>
        <v>2024</v>
      </c>
      <c r="AC530" t="str">
        <f t="shared" si="79"/>
        <v>Unique</v>
      </c>
      <c r="AD530" t="str">
        <f t="shared" si="80"/>
        <v>Clean</v>
      </c>
    </row>
    <row r="531" spans="1:30" x14ac:dyDescent="0.3">
      <c r="A531" t="s">
        <v>1695</v>
      </c>
      <c r="B531" s="2">
        <v>45328</v>
      </c>
      <c r="C531" s="2">
        <v>45330</v>
      </c>
      <c r="D531" t="s">
        <v>739</v>
      </c>
      <c r="E531" t="s">
        <v>32</v>
      </c>
      <c r="F531" t="s">
        <v>33</v>
      </c>
      <c r="G531" t="s">
        <v>47</v>
      </c>
      <c r="H531" t="s">
        <v>238</v>
      </c>
      <c r="I531" t="s">
        <v>239</v>
      </c>
      <c r="J531" t="s">
        <v>50</v>
      </c>
      <c r="K531" t="s">
        <v>167</v>
      </c>
      <c r="L531" t="s">
        <v>1696</v>
      </c>
      <c r="M531" t="s">
        <v>40</v>
      </c>
      <c r="N531">
        <v>9</v>
      </c>
      <c r="O531">
        <v>1822.25</v>
      </c>
      <c r="P531" s="3">
        <v>0</v>
      </c>
      <c r="Q531">
        <v>16400.25</v>
      </c>
      <c r="R531">
        <v>12146.96</v>
      </c>
      <c r="S531">
        <v>4253.29</v>
      </c>
      <c r="T531" t="s">
        <v>41</v>
      </c>
      <c r="U531" t="s">
        <v>42</v>
      </c>
      <c r="V531" s="3">
        <f t="shared" si="72"/>
        <v>0</v>
      </c>
      <c r="W531">
        <f t="shared" si="73"/>
        <v>16400.25</v>
      </c>
      <c r="X531">
        <f t="shared" si="74"/>
        <v>4253.2900000000009</v>
      </c>
      <c r="Y531" s="4">
        <f t="shared" si="75"/>
        <v>0.25934299782015524</v>
      </c>
      <c r="Z531">
        <f t="shared" si="76"/>
        <v>2</v>
      </c>
      <c r="AA531">
        <f t="shared" si="77"/>
        <v>2</v>
      </c>
      <c r="AB531">
        <f t="shared" si="78"/>
        <v>2024</v>
      </c>
      <c r="AC531" t="str">
        <f t="shared" si="79"/>
        <v>Unique</v>
      </c>
      <c r="AD531" t="str">
        <f t="shared" si="80"/>
        <v>Clean</v>
      </c>
    </row>
    <row r="532" spans="1:30" x14ac:dyDescent="0.3">
      <c r="A532" t="s">
        <v>1697</v>
      </c>
      <c r="B532" s="2">
        <v>45807</v>
      </c>
      <c r="C532" s="2">
        <v>45809</v>
      </c>
      <c r="D532" t="s">
        <v>1698</v>
      </c>
      <c r="E532" t="s">
        <v>127</v>
      </c>
      <c r="F532" t="s">
        <v>104</v>
      </c>
      <c r="G532" t="s">
        <v>63</v>
      </c>
      <c r="H532" t="s">
        <v>257</v>
      </c>
      <c r="I532" t="s">
        <v>258</v>
      </c>
      <c r="J532" t="s">
        <v>37</v>
      </c>
      <c r="K532" t="s">
        <v>162</v>
      </c>
      <c r="L532" t="s">
        <v>1699</v>
      </c>
      <c r="M532" t="s">
        <v>68</v>
      </c>
      <c r="N532">
        <v>9</v>
      </c>
      <c r="O532">
        <v>1994.51</v>
      </c>
      <c r="P532" s="3">
        <v>0.05</v>
      </c>
      <c r="Q532">
        <v>17053.060000000001</v>
      </c>
      <c r="R532">
        <v>10742.38</v>
      </c>
      <c r="S532">
        <v>6310.68</v>
      </c>
      <c r="T532" t="s">
        <v>41</v>
      </c>
      <c r="U532" t="s">
        <v>42</v>
      </c>
      <c r="V532" s="3">
        <f t="shared" si="72"/>
        <v>0.05</v>
      </c>
      <c r="W532">
        <f t="shared" si="73"/>
        <v>17053.0605</v>
      </c>
      <c r="X532">
        <f t="shared" si="74"/>
        <v>6310.6805000000004</v>
      </c>
      <c r="Y532" s="4">
        <f t="shared" si="75"/>
        <v>0.37006146198801093</v>
      </c>
      <c r="Z532">
        <f t="shared" si="76"/>
        <v>2</v>
      </c>
      <c r="AA532">
        <f t="shared" si="77"/>
        <v>5</v>
      </c>
      <c r="AB532">
        <f t="shared" si="78"/>
        <v>2025</v>
      </c>
      <c r="AC532" t="str">
        <f t="shared" si="79"/>
        <v>Unique</v>
      </c>
      <c r="AD532" t="str">
        <f t="shared" si="80"/>
        <v>Clean</v>
      </c>
    </row>
    <row r="533" spans="1:30" x14ac:dyDescent="0.3">
      <c r="A533" t="s">
        <v>1700</v>
      </c>
      <c r="B533" s="2">
        <v>45505</v>
      </c>
      <c r="C533" s="2">
        <v>45512</v>
      </c>
      <c r="D533" t="s">
        <v>1701</v>
      </c>
      <c r="E533" t="s">
        <v>171</v>
      </c>
      <c r="F533" t="s">
        <v>46</v>
      </c>
      <c r="G533" t="s">
        <v>72</v>
      </c>
      <c r="H533" t="s">
        <v>73</v>
      </c>
      <c r="I533" t="s">
        <v>74</v>
      </c>
      <c r="J533" t="s">
        <v>37</v>
      </c>
      <c r="K533" t="s">
        <v>133</v>
      </c>
      <c r="L533" t="s">
        <v>1702</v>
      </c>
      <c r="M533" t="s">
        <v>214</v>
      </c>
      <c r="N533">
        <v>1</v>
      </c>
      <c r="O533">
        <v>442.97</v>
      </c>
      <c r="P533" s="3">
        <v>0.1</v>
      </c>
      <c r="Q533">
        <v>398.67</v>
      </c>
      <c r="R533">
        <v>311.66000000000003</v>
      </c>
      <c r="S533">
        <v>87.01</v>
      </c>
      <c r="T533" t="s">
        <v>41</v>
      </c>
      <c r="U533" t="s">
        <v>42</v>
      </c>
      <c r="V533" s="3">
        <f t="shared" si="72"/>
        <v>0.1</v>
      </c>
      <c r="W533">
        <f t="shared" si="73"/>
        <v>398.67300000000006</v>
      </c>
      <c r="X533">
        <f t="shared" si="74"/>
        <v>87.013000000000034</v>
      </c>
      <c r="Y533" s="4">
        <f t="shared" si="75"/>
        <v>0.21825656615822997</v>
      </c>
      <c r="Z533">
        <f t="shared" si="76"/>
        <v>7</v>
      </c>
      <c r="AA533">
        <f t="shared" si="77"/>
        <v>8</v>
      </c>
      <c r="AB533">
        <f t="shared" si="78"/>
        <v>2024</v>
      </c>
      <c r="AC533" t="str">
        <f t="shared" si="79"/>
        <v>Unique</v>
      </c>
      <c r="AD533" t="str">
        <f t="shared" si="80"/>
        <v>Warning</v>
      </c>
    </row>
    <row r="534" spans="1:30" x14ac:dyDescent="0.3">
      <c r="A534" t="s">
        <v>1703</v>
      </c>
      <c r="B534" s="2">
        <v>45935</v>
      </c>
      <c r="C534" s="2">
        <v>45940</v>
      </c>
      <c r="D534" t="s">
        <v>1704</v>
      </c>
      <c r="E534" t="s">
        <v>123</v>
      </c>
      <c r="F534" t="s">
        <v>99</v>
      </c>
      <c r="G534" t="s">
        <v>47</v>
      </c>
      <c r="H534" t="s">
        <v>175</v>
      </c>
      <c r="I534" t="s">
        <v>176</v>
      </c>
      <c r="J534" t="s">
        <v>50</v>
      </c>
      <c r="K534" t="s">
        <v>51</v>
      </c>
      <c r="L534" t="s">
        <v>1705</v>
      </c>
      <c r="M534" t="s">
        <v>40</v>
      </c>
      <c r="N534">
        <v>9</v>
      </c>
      <c r="O534">
        <v>2089.14</v>
      </c>
      <c r="P534" s="3">
        <v>0.05</v>
      </c>
      <c r="Q534">
        <v>17862.150000000001</v>
      </c>
      <c r="R534">
        <v>9892.2099999999991</v>
      </c>
      <c r="S534">
        <v>7969.94</v>
      </c>
      <c r="T534" t="s">
        <v>164</v>
      </c>
      <c r="U534" t="s">
        <v>77</v>
      </c>
      <c r="V534" s="3">
        <f t="shared" si="72"/>
        <v>0.05</v>
      </c>
      <c r="W534">
        <f t="shared" si="73"/>
        <v>17862.146999999997</v>
      </c>
      <c r="X534">
        <f t="shared" si="74"/>
        <v>7969.9369999999981</v>
      </c>
      <c r="Y534" s="4">
        <f t="shared" si="75"/>
        <v>0.44619143488182017</v>
      </c>
      <c r="Z534">
        <f t="shared" si="76"/>
        <v>5</v>
      </c>
      <c r="AA534">
        <f t="shared" si="77"/>
        <v>10</v>
      </c>
      <c r="AB534">
        <f t="shared" si="78"/>
        <v>2025</v>
      </c>
      <c r="AC534" t="str">
        <f t="shared" si="79"/>
        <v>Unique</v>
      </c>
      <c r="AD534" t="str">
        <f t="shared" si="80"/>
        <v>Warning</v>
      </c>
    </row>
    <row r="535" spans="1:30" x14ac:dyDescent="0.3">
      <c r="A535" t="s">
        <v>1706</v>
      </c>
      <c r="B535" s="2">
        <v>45529</v>
      </c>
      <c r="C535" s="2">
        <v>45536</v>
      </c>
      <c r="D535" t="s">
        <v>1707</v>
      </c>
      <c r="E535" t="s">
        <v>56</v>
      </c>
      <c r="F535" t="s">
        <v>104</v>
      </c>
      <c r="G535" t="s">
        <v>34</v>
      </c>
      <c r="H535" t="s">
        <v>35</v>
      </c>
      <c r="I535" t="s">
        <v>36</v>
      </c>
      <c r="J535" t="s">
        <v>50</v>
      </c>
      <c r="K535" t="s">
        <v>51</v>
      </c>
      <c r="L535" t="s">
        <v>1708</v>
      </c>
      <c r="M535" t="s">
        <v>53</v>
      </c>
      <c r="N535">
        <v>6</v>
      </c>
      <c r="O535">
        <v>481.3</v>
      </c>
      <c r="P535" s="3">
        <v>0.25</v>
      </c>
      <c r="Q535">
        <v>2165.85</v>
      </c>
      <c r="R535">
        <v>2124.48</v>
      </c>
      <c r="S535">
        <v>430.45</v>
      </c>
      <c r="T535" t="s">
        <v>41</v>
      </c>
      <c r="U535" t="s">
        <v>42</v>
      </c>
      <c r="V535" s="3">
        <f t="shared" si="72"/>
        <v>0.25</v>
      </c>
      <c r="W535">
        <f t="shared" si="73"/>
        <v>2165.8500000000004</v>
      </c>
      <c r="X535">
        <f t="shared" si="74"/>
        <v>41.370000000000346</v>
      </c>
      <c r="Y535" s="4">
        <f t="shared" si="75"/>
        <v>1.91010457787937E-2</v>
      </c>
      <c r="Z535">
        <f t="shared" si="76"/>
        <v>7</v>
      </c>
      <c r="AA535">
        <f t="shared" si="77"/>
        <v>8</v>
      </c>
      <c r="AB535">
        <f t="shared" si="78"/>
        <v>2024</v>
      </c>
      <c r="AC535" t="str">
        <f t="shared" si="79"/>
        <v>Unique</v>
      </c>
      <c r="AD535" t="str">
        <f t="shared" si="80"/>
        <v>Clean</v>
      </c>
    </row>
    <row r="536" spans="1:30" x14ac:dyDescent="0.3">
      <c r="A536" t="s">
        <v>1709</v>
      </c>
      <c r="B536" s="2">
        <v>45774</v>
      </c>
      <c r="C536" s="2">
        <v>45782</v>
      </c>
      <c r="D536" t="s">
        <v>1710</v>
      </c>
      <c r="E536" t="s">
        <v>150</v>
      </c>
      <c r="F536" t="s">
        <v>104</v>
      </c>
      <c r="G536" t="s">
        <v>47</v>
      </c>
      <c r="H536" t="s">
        <v>154</v>
      </c>
      <c r="I536" t="s">
        <v>155</v>
      </c>
      <c r="J536" t="s">
        <v>83</v>
      </c>
      <c r="K536" t="s">
        <v>84</v>
      </c>
      <c r="L536" t="s">
        <v>1711</v>
      </c>
      <c r="M536" t="s">
        <v>40</v>
      </c>
      <c r="N536">
        <v>4</v>
      </c>
      <c r="O536">
        <v>3963.39</v>
      </c>
      <c r="P536" s="3">
        <v>0.1</v>
      </c>
      <c r="Q536">
        <v>14268.2</v>
      </c>
      <c r="R536">
        <v>11705.3</v>
      </c>
      <c r="S536">
        <v>2562.9</v>
      </c>
      <c r="T536" t="s">
        <v>120</v>
      </c>
      <c r="U536" t="s">
        <v>112</v>
      </c>
      <c r="V536" s="3">
        <f t="shared" si="72"/>
        <v>0.1</v>
      </c>
      <c r="W536">
        <f t="shared" si="73"/>
        <v>14268.204</v>
      </c>
      <c r="X536">
        <f t="shared" si="74"/>
        <v>2562.9040000000005</v>
      </c>
      <c r="Y536" s="4">
        <f t="shared" si="75"/>
        <v>0.17962344805274724</v>
      </c>
      <c r="Z536">
        <f t="shared" si="76"/>
        <v>8</v>
      </c>
      <c r="AA536">
        <f t="shared" si="77"/>
        <v>4</v>
      </c>
      <c r="AB536">
        <f t="shared" si="78"/>
        <v>2025</v>
      </c>
      <c r="AC536" t="str">
        <f t="shared" si="79"/>
        <v>Unique</v>
      </c>
      <c r="AD536" t="str">
        <f t="shared" si="80"/>
        <v>Clean</v>
      </c>
    </row>
    <row r="537" spans="1:30" x14ac:dyDescent="0.3">
      <c r="A537" t="s">
        <v>1712</v>
      </c>
      <c r="B537" s="2">
        <v>45431</v>
      </c>
      <c r="C537" s="2">
        <v>45433</v>
      </c>
      <c r="D537" t="s">
        <v>1713</v>
      </c>
      <c r="E537" t="s">
        <v>171</v>
      </c>
      <c r="F537" t="s">
        <v>46</v>
      </c>
      <c r="G537" t="s">
        <v>72</v>
      </c>
      <c r="H537" t="s">
        <v>73</v>
      </c>
      <c r="I537" t="s">
        <v>74</v>
      </c>
      <c r="J537" t="s">
        <v>83</v>
      </c>
      <c r="K537" t="s">
        <v>89</v>
      </c>
      <c r="L537" t="s">
        <v>1714</v>
      </c>
      <c r="M537" t="s">
        <v>59</v>
      </c>
      <c r="N537">
        <v>3</v>
      </c>
      <c r="O537">
        <v>4000.98</v>
      </c>
      <c r="P537" s="3">
        <v>0.2</v>
      </c>
      <c r="Q537">
        <v>9602.35</v>
      </c>
      <c r="R537">
        <v>7387.57</v>
      </c>
      <c r="S537">
        <v>2214.7800000000002</v>
      </c>
      <c r="T537" t="s">
        <v>41</v>
      </c>
      <c r="U537" t="s">
        <v>42</v>
      </c>
      <c r="V537" s="3">
        <f t="shared" si="72"/>
        <v>0.2</v>
      </c>
      <c r="W537">
        <f t="shared" si="73"/>
        <v>9602.3520000000008</v>
      </c>
      <c r="X537">
        <f t="shared" si="74"/>
        <v>2214.7820000000011</v>
      </c>
      <c r="Y537" s="4">
        <f t="shared" si="75"/>
        <v>0.23064994909580494</v>
      </c>
      <c r="Z537">
        <f t="shared" si="76"/>
        <v>2</v>
      </c>
      <c r="AA537">
        <f t="shared" si="77"/>
        <v>5</v>
      </c>
      <c r="AB537">
        <f t="shared" si="78"/>
        <v>2024</v>
      </c>
      <c r="AC537" t="str">
        <f t="shared" si="79"/>
        <v>Unique</v>
      </c>
      <c r="AD537" t="str">
        <f t="shared" si="80"/>
        <v>Clean</v>
      </c>
    </row>
    <row r="538" spans="1:30" x14ac:dyDescent="0.3">
      <c r="A538" t="s">
        <v>1715</v>
      </c>
      <c r="B538" s="2">
        <v>45757</v>
      </c>
      <c r="C538" s="2">
        <v>45764</v>
      </c>
      <c r="D538" t="s">
        <v>1716</v>
      </c>
      <c r="E538" t="s">
        <v>71</v>
      </c>
      <c r="F538" t="s">
        <v>46</v>
      </c>
      <c r="G538" t="s">
        <v>72</v>
      </c>
      <c r="H538" t="s">
        <v>35</v>
      </c>
      <c r="I538" t="s">
        <v>118</v>
      </c>
      <c r="J538" t="s">
        <v>50</v>
      </c>
      <c r="K538" t="s">
        <v>75</v>
      </c>
      <c r="L538" t="s">
        <v>1717</v>
      </c>
      <c r="M538" t="s">
        <v>59</v>
      </c>
      <c r="N538">
        <v>7</v>
      </c>
      <c r="O538">
        <v>3788.9</v>
      </c>
      <c r="P538" s="3">
        <v>0.25</v>
      </c>
      <c r="Q538">
        <v>19891.72</v>
      </c>
      <c r="R538">
        <v>12295.76</v>
      </c>
      <c r="S538">
        <v>7595.96</v>
      </c>
      <c r="T538" t="s">
        <v>164</v>
      </c>
      <c r="U538" t="s">
        <v>77</v>
      </c>
      <c r="V538" s="3">
        <f t="shared" si="72"/>
        <v>0.25</v>
      </c>
      <c r="W538">
        <f t="shared" si="73"/>
        <v>19891.724999999999</v>
      </c>
      <c r="X538">
        <f t="shared" si="74"/>
        <v>7595.9649999999983</v>
      </c>
      <c r="Y538" s="4">
        <f t="shared" si="75"/>
        <v>0.38186557475533162</v>
      </c>
      <c r="Z538">
        <f t="shared" si="76"/>
        <v>7</v>
      </c>
      <c r="AA538">
        <f t="shared" si="77"/>
        <v>4</v>
      </c>
      <c r="AB538">
        <f t="shared" si="78"/>
        <v>2025</v>
      </c>
      <c r="AC538" t="str">
        <f t="shared" si="79"/>
        <v>Unique</v>
      </c>
      <c r="AD538" t="str">
        <f t="shared" si="80"/>
        <v>Warning</v>
      </c>
    </row>
    <row r="539" spans="1:30" x14ac:dyDescent="0.3">
      <c r="A539" t="s">
        <v>1718</v>
      </c>
      <c r="B539" s="2">
        <v>45313</v>
      </c>
      <c r="C539" s="2">
        <v>45321</v>
      </c>
      <c r="D539" t="s">
        <v>1719</v>
      </c>
      <c r="E539" t="s">
        <v>71</v>
      </c>
      <c r="F539" t="s">
        <v>46</v>
      </c>
      <c r="G539" t="s">
        <v>34</v>
      </c>
      <c r="H539" t="s">
        <v>246</v>
      </c>
      <c r="I539" t="s">
        <v>247</v>
      </c>
      <c r="J539" t="s">
        <v>37</v>
      </c>
      <c r="K539" t="s">
        <v>57</v>
      </c>
      <c r="L539" t="s">
        <v>1720</v>
      </c>
      <c r="M539" t="s">
        <v>53</v>
      </c>
      <c r="N539">
        <v>3</v>
      </c>
      <c r="O539">
        <v>676.37</v>
      </c>
      <c r="P539" s="3">
        <v>0.05</v>
      </c>
      <c r="Q539">
        <v>1927.65</v>
      </c>
      <c r="R539">
        <v>1460.6</v>
      </c>
      <c r="S539">
        <v>467.05</v>
      </c>
      <c r="T539" t="s">
        <v>164</v>
      </c>
      <c r="U539" t="s">
        <v>77</v>
      </c>
      <c r="V539" s="3">
        <f t="shared" si="72"/>
        <v>0.05</v>
      </c>
      <c r="W539">
        <f t="shared" si="73"/>
        <v>1927.6545000000001</v>
      </c>
      <c r="X539">
        <f t="shared" si="74"/>
        <v>467.05450000000019</v>
      </c>
      <c r="Y539" s="4">
        <f t="shared" si="75"/>
        <v>0.24229160360427668</v>
      </c>
      <c r="Z539">
        <f t="shared" si="76"/>
        <v>8</v>
      </c>
      <c r="AA539">
        <f t="shared" si="77"/>
        <v>1</v>
      </c>
      <c r="AB539">
        <f t="shared" si="78"/>
        <v>2024</v>
      </c>
      <c r="AC539" t="str">
        <f t="shared" si="79"/>
        <v>Unique</v>
      </c>
      <c r="AD539" t="str">
        <f t="shared" si="80"/>
        <v>Warning</v>
      </c>
    </row>
    <row r="540" spans="1:30" x14ac:dyDescent="0.3">
      <c r="A540" t="s">
        <v>1721</v>
      </c>
      <c r="B540" s="2">
        <v>45560</v>
      </c>
      <c r="C540" s="2">
        <v>45566</v>
      </c>
      <c r="D540" t="s">
        <v>1722</v>
      </c>
      <c r="E540" t="s">
        <v>171</v>
      </c>
      <c r="F540" t="s">
        <v>46</v>
      </c>
      <c r="G540" t="s">
        <v>47</v>
      </c>
      <c r="H540" t="s">
        <v>238</v>
      </c>
      <c r="I540" t="s">
        <v>239</v>
      </c>
      <c r="J540" t="s">
        <v>50</v>
      </c>
      <c r="K540" t="s">
        <v>51</v>
      </c>
      <c r="L540" t="s">
        <v>1723</v>
      </c>
      <c r="M540" t="s">
        <v>40</v>
      </c>
      <c r="N540">
        <v>9</v>
      </c>
      <c r="O540">
        <v>3908.6</v>
      </c>
      <c r="P540" s="3">
        <v>0.15</v>
      </c>
      <c r="Q540">
        <v>29900.79</v>
      </c>
      <c r="R540">
        <v>24650.67</v>
      </c>
      <c r="S540">
        <v>5250.12</v>
      </c>
      <c r="T540" t="s">
        <v>41</v>
      </c>
      <c r="U540" t="s">
        <v>42</v>
      </c>
      <c r="V540" s="3">
        <f t="shared" si="72"/>
        <v>0.15</v>
      </c>
      <c r="W540">
        <f t="shared" si="73"/>
        <v>29900.79</v>
      </c>
      <c r="X540">
        <f t="shared" si="74"/>
        <v>5250.1200000000026</v>
      </c>
      <c r="Y540" s="4">
        <f t="shared" si="75"/>
        <v>0.17558465846554563</v>
      </c>
      <c r="Z540">
        <f t="shared" si="76"/>
        <v>6</v>
      </c>
      <c r="AA540">
        <f t="shared" si="77"/>
        <v>9</v>
      </c>
      <c r="AB540">
        <f t="shared" si="78"/>
        <v>2024</v>
      </c>
      <c r="AC540" t="str">
        <f t="shared" si="79"/>
        <v>Unique</v>
      </c>
      <c r="AD540" t="str">
        <f t="shared" si="80"/>
        <v>Clean</v>
      </c>
    </row>
    <row r="541" spans="1:30" x14ac:dyDescent="0.3">
      <c r="A541" t="s">
        <v>1724</v>
      </c>
      <c r="B541" s="2">
        <v>45842</v>
      </c>
      <c r="C541" s="2">
        <v>45842</v>
      </c>
      <c r="D541" t="s">
        <v>1725</v>
      </c>
      <c r="E541" t="s">
        <v>45</v>
      </c>
      <c r="F541" t="s">
        <v>46</v>
      </c>
      <c r="G541" t="s">
        <v>63</v>
      </c>
      <c r="H541" t="s">
        <v>257</v>
      </c>
      <c r="I541" t="s">
        <v>258</v>
      </c>
      <c r="J541" t="s">
        <v>50</v>
      </c>
      <c r="K541" t="s">
        <v>75</v>
      </c>
      <c r="L541" t="s">
        <v>1726</v>
      </c>
      <c r="M541" t="s">
        <v>68</v>
      </c>
      <c r="N541">
        <v>3</v>
      </c>
      <c r="O541">
        <v>705.35</v>
      </c>
      <c r="P541" s="3">
        <v>0.1</v>
      </c>
      <c r="Q541">
        <v>1904.45</v>
      </c>
      <c r="R541">
        <v>1316.54</v>
      </c>
      <c r="S541">
        <v>587.91</v>
      </c>
      <c r="T541" t="s">
        <v>41</v>
      </c>
      <c r="U541" t="s">
        <v>77</v>
      </c>
      <c r="V541" s="3">
        <f t="shared" si="72"/>
        <v>0.1</v>
      </c>
      <c r="W541">
        <f t="shared" si="73"/>
        <v>1904.4450000000002</v>
      </c>
      <c r="X541">
        <f t="shared" si="74"/>
        <v>587.9050000000002</v>
      </c>
      <c r="Y541" s="4">
        <f t="shared" si="75"/>
        <v>0.30870148520960183</v>
      </c>
      <c r="Z541">
        <f t="shared" si="76"/>
        <v>0</v>
      </c>
      <c r="AA541">
        <f t="shared" si="77"/>
        <v>7</v>
      </c>
      <c r="AB541">
        <f t="shared" si="78"/>
        <v>2025</v>
      </c>
      <c r="AC541" t="str">
        <f t="shared" si="79"/>
        <v>Unique</v>
      </c>
      <c r="AD541" t="str">
        <f t="shared" si="80"/>
        <v>Warning</v>
      </c>
    </row>
    <row r="542" spans="1:30" x14ac:dyDescent="0.3">
      <c r="A542" t="s">
        <v>1727</v>
      </c>
      <c r="B542" s="2">
        <v>45348</v>
      </c>
      <c r="C542" s="2">
        <v>45345</v>
      </c>
      <c r="D542" t="s">
        <v>1728</v>
      </c>
      <c r="E542" t="s">
        <v>274</v>
      </c>
      <c r="F542" t="s">
        <v>33</v>
      </c>
      <c r="G542" t="s">
        <v>72</v>
      </c>
      <c r="H542" t="s">
        <v>189</v>
      </c>
      <c r="I542" t="s">
        <v>190</v>
      </c>
      <c r="J542" t="s">
        <v>50</v>
      </c>
      <c r="K542" t="s">
        <v>66</v>
      </c>
      <c r="L542" t="s">
        <v>1729</v>
      </c>
      <c r="M542" t="s">
        <v>68</v>
      </c>
      <c r="N542">
        <v>7</v>
      </c>
      <c r="O542">
        <v>3852.07</v>
      </c>
      <c r="P542" s="3">
        <v>0.2</v>
      </c>
      <c r="Q542">
        <v>21571.59</v>
      </c>
      <c r="R542">
        <v>17118.07</v>
      </c>
      <c r="S542">
        <v>4453.5200000000004</v>
      </c>
      <c r="T542" t="s">
        <v>41</v>
      </c>
      <c r="U542" t="s">
        <v>42</v>
      </c>
      <c r="V542" s="3">
        <f t="shared" si="72"/>
        <v>0.2</v>
      </c>
      <c r="W542">
        <f t="shared" si="73"/>
        <v>21571.592000000004</v>
      </c>
      <c r="X542">
        <f t="shared" si="74"/>
        <v>4453.5220000000045</v>
      </c>
      <c r="Y542" s="4">
        <f t="shared" si="75"/>
        <v>0.20645309813017063</v>
      </c>
      <c r="Z542">
        <f t="shared" si="76"/>
        <v>-3</v>
      </c>
      <c r="AA542">
        <f t="shared" si="77"/>
        <v>2</v>
      </c>
      <c r="AB542">
        <f t="shared" si="78"/>
        <v>2024</v>
      </c>
      <c r="AC542" t="str">
        <f t="shared" si="79"/>
        <v>Unique</v>
      </c>
      <c r="AD542" t="str">
        <f t="shared" si="80"/>
        <v>Invalid</v>
      </c>
    </row>
    <row r="543" spans="1:30" x14ac:dyDescent="0.3">
      <c r="A543" t="s">
        <v>1730</v>
      </c>
      <c r="B543" s="2">
        <v>45846</v>
      </c>
      <c r="C543" s="2">
        <v>45847</v>
      </c>
      <c r="D543" t="s">
        <v>1731</v>
      </c>
      <c r="E543" t="s">
        <v>141</v>
      </c>
      <c r="F543" t="s">
        <v>33</v>
      </c>
      <c r="G543" t="s">
        <v>72</v>
      </c>
      <c r="H543" t="s">
        <v>73</v>
      </c>
      <c r="I543" t="s">
        <v>74</v>
      </c>
      <c r="J543" t="s">
        <v>83</v>
      </c>
      <c r="K543" t="s">
        <v>89</v>
      </c>
      <c r="L543" t="s">
        <v>1732</v>
      </c>
      <c r="M543" t="s">
        <v>53</v>
      </c>
      <c r="N543">
        <v>3</v>
      </c>
      <c r="O543">
        <v>2880.56</v>
      </c>
      <c r="P543" s="3">
        <v>0</v>
      </c>
      <c r="Q543">
        <v>8641.68</v>
      </c>
      <c r="R543">
        <v>5747.09</v>
      </c>
      <c r="S543">
        <v>2894.59</v>
      </c>
      <c r="T543" t="s">
        <v>41</v>
      </c>
      <c r="U543" t="s">
        <v>112</v>
      </c>
      <c r="V543" s="3">
        <f t="shared" si="72"/>
        <v>0</v>
      </c>
      <c r="W543">
        <f t="shared" si="73"/>
        <v>8641.68</v>
      </c>
      <c r="X543">
        <f t="shared" si="74"/>
        <v>2894.59</v>
      </c>
      <c r="Y543" s="4">
        <f t="shared" si="75"/>
        <v>0.33495686024013849</v>
      </c>
      <c r="Z543">
        <f t="shared" si="76"/>
        <v>1</v>
      </c>
      <c r="AA543">
        <f t="shared" si="77"/>
        <v>7</v>
      </c>
      <c r="AB543">
        <f t="shared" si="78"/>
        <v>2025</v>
      </c>
      <c r="AC543" t="str">
        <f t="shared" si="79"/>
        <v>Unique</v>
      </c>
      <c r="AD543" t="str">
        <f t="shared" si="80"/>
        <v>Clean</v>
      </c>
    </row>
    <row r="544" spans="1:30" x14ac:dyDescent="0.3">
      <c r="A544" t="s">
        <v>1733</v>
      </c>
      <c r="B544" s="2">
        <v>45552</v>
      </c>
      <c r="C544" s="2">
        <v>45558</v>
      </c>
      <c r="D544" t="s">
        <v>1734</v>
      </c>
      <c r="E544" t="s">
        <v>127</v>
      </c>
      <c r="F544" t="s">
        <v>104</v>
      </c>
      <c r="G544" t="s">
        <v>63</v>
      </c>
      <c r="H544" t="s">
        <v>194</v>
      </c>
      <c r="I544" t="s">
        <v>195</v>
      </c>
      <c r="J544" t="s">
        <v>50</v>
      </c>
      <c r="K544" t="s">
        <v>167</v>
      </c>
      <c r="L544" t="s">
        <v>1735</v>
      </c>
      <c r="M544" t="s">
        <v>40</v>
      </c>
      <c r="N544">
        <v>3</v>
      </c>
      <c r="O544">
        <v>4067.62</v>
      </c>
      <c r="P544" s="3">
        <v>0.2</v>
      </c>
      <c r="Q544">
        <v>9988.5300000000007</v>
      </c>
      <c r="R544">
        <v>8368.24</v>
      </c>
      <c r="S544">
        <v>1394.05</v>
      </c>
      <c r="T544" t="s">
        <v>41</v>
      </c>
      <c r="U544" t="s">
        <v>77</v>
      </c>
      <c r="V544" s="3">
        <f t="shared" si="72"/>
        <v>0.2</v>
      </c>
      <c r="W544">
        <f t="shared" si="73"/>
        <v>9762.2880000000005</v>
      </c>
      <c r="X544">
        <f t="shared" si="74"/>
        <v>1394.0480000000007</v>
      </c>
      <c r="Y544" s="4">
        <f t="shared" si="75"/>
        <v>0.14279931098119628</v>
      </c>
      <c r="Z544">
        <f t="shared" si="76"/>
        <v>6</v>
      </c>
      <c r="AA544">
        <f t="shared" si="77"/>
        <v>9</v>
      </c>
      <c r="AB544">
        <f t="shared" si="78"/>
        <v>2024</v>
      </c>
      <c r="AC544" t="str">
        <f t="shared" si="79"/>
        <v>Unique</v>
      </c>
      <c r="AD544" t="str">
        <f t="shared" si="80"/>
        <v>Warning</v>
      </c>
    </row>
    <row r="545" spans="1:30" x14ac:dyDescent="0.3">
      <c r="A545" t="s">
        <v>1736</v>
      </c>
      <c r="B545" s="2">
        <v>45487</v>
      </c>
      <c r="C545" s="2">
        <v>45493</v>
      </c>
      <c r="D545" t="s">
        <v>1737</v>
      </c>
      <c r="E545" t="s">
        <v>45</v>
      </c>
      <c r="F545" t="s">
        <v>33</v>
      </c>
      <c r="G545" t="s">
        <v>47</v>
      </c>
      <c r="H545" t="s">
        <v>154</v>
      </c>
      <c r="I545" t="s">
        <v>155</v>
      </c>
      <c r="J545" t="s">
        <v>83</v>
      </c>
      <c r="K545" t="s">
        <v>89</v>
      </c>
      <c r="L545" t="s">
        <v>1738</v>
      </c>
      <c r="M545" t="s">
        <v>53</v>
      </c>
      <c r="N545">
        <v>1</v>
      </c>
      <c r="O545">
        <v>492.67</v>
      </c>
      <c r="P545" s="3">
        <v>0.15</v>
      </c>
      <c r="Q545">
        <v>418.77</v>
      </c>
      <c r="R545">
        <v>313.72000000000003</v>
      </c>
      <c r="S545">
        <v>105.05</v>
      </c>
      <c r="T545" t="s">
        <v>41</v>
      </c>
      <c r="U545" t="s">
        <v>42</v>
      </c>
      <c r="V545" s="3">
        <f t="shared" si="72"/>
        <v>0.15</v>
      </c>
      <c r="W545">
        <f t="shared" si="73"/>
        <v>418.76949999999999</v>
      </c>
      <c r="X545">
        <f t="shared" si="74"/>
        <v>105.04949999999997</v>
      </c>
      <c r="Y545" s="4">
        <f t="shared" si="75"/>
        <v>0.25085279610859906</v>
      </c>
      <c r="Z545">
        <f t="shared" si="76"/>
        <v>6</v>
      </c>
      <c r="AA545">
        <f t="shared" si="77"/>
        <v>7</v>
      </c>
      <c r="AB545">
        <f t="shared" si="78"/>
        <v>2024</v>
      </c>
      <c r="AC545" t="str">
        <f t="shared" si="79"/>
        <v>Unique</v>
      </c>
      <c r="AD545" t="str">
        <f t="shared" si="80"/>
        <v>Clean</v>
      </c>
    </row>
    <row r="546" spans="1:30" x14ac:dyDescent="0.3">
      <c r="A546" t="s">
        <v>1739</v>
      </c>
      <c r="B546" s="2">
        <v>45686</v>
      </c>
      <c r="C546" s="2">
        <v>45693</v>
      </c>
      <c r="D546" t="s">
        <v>1740</v>
      </c>
      <c r="E546" t="s">
        <v>71</v>
      </c>
      <c r="F546" t="s">
        <v>33</v>
      </c>
      <c r="G546" t="s">
        <v>63</v>
      </c>
      <c r="H546" t="s">
        <v>194</v>
      </c>
      <c r="I546" t="s">
        <v>195</v>
      </c>
      <c r="J546" t="s">
        <v>37</v>
      </c>
      <c r="K546" t="s">
        <v>57</v>
      </c>
      <c r="L546" t="s">
        <v>1741</v>
      </c>
      <c r="M546" t="s">
        <v>53</v>
      </c>
      <c r="N546">
        <v>8</v>
      </c>
      <c r="O546">
        <v>3643.62</v>
      </c>
      <c r="P546" s="3">
        <v>0.25</v>
      </c>
      <c r="Q546">
        <v>21861.72</v>
      </c>
      <c r="R546">
        <v>18464.34</v>
      </c>
      <c r="S546">
        <v>3397.38</v>
      </c>
      <c r="T546" t="s">
        <v>41</v>
      </c>
      <c r="U546" t="s">
        <v>77</v>
      </c>
      <c r="V546" s="3">
        <f t="shared" si="72"/>
        <v>0.25</v>
      </c>
      <c r="W546">
        <f t="shared" si="73"/>
        <v>21861.72</v>
      </c>
      <c r="X546">
        <f t="shared" si="74"/>
        <v>3397.380000000001</v>
      </c>
      <c r="Y546" s="4">
        <f t="shared" si="75"/>
        <v>0.1554031430280875</v>
      </c>
      <c r="Z546">
        <f t="shared" si="76"/>
        <v>7</v>
      </c>
      <c r="AA546">
        <f t="shared" si="77"/>
        <v>1</v>
      </c>
      <c r="AB546">
        <f t="shared" si="78"/>
        <v>2025</v>
      </c>
      <c r="AC546" t="str">
        <f t="shared" si="79"/>
        <v>Unique</v>
      </c>
      <c r="AD546" t="str">
        <f t="shared" si="80"/>
        <v>Warning</v>
      </c>
    </row>
    <row r="547" spans="1:30" x14ac:dyDescent="0.3">
      <c r="A547" t="s">
        <v>1742</v>
      </c>
      <c r="B547" s="2">
        <v>45439</v>
      </c>
      <c r="C547" s="2">
        <v>45442</v>
      </c>
      <c r="D547" t="s">
        <v>1743</v>
      </c>
      <c r="E547" t="s">
        <v>274</v>
      </c>
      <c r="F547" t="s">
        <v>46</v>
      </c>
      <c r="G547" t="s">
        <v>47</v>
      </c>
      <c r="H547" t="s">
        <v>238</v>
      </c>
      <c r="I547" t="s">
        <v>239</v>
      </c>
      <c r="J547" t="s">
        <v>37</v>
      </c>
      <c r="K547" t="s">
        <v>133</v>
      </c>
      <c r="L547" t="s">
        <v>1744</v>
      </c>
      <c r="M547" t="s">
        <v>53</v>
      </c>
      <c r="N547">
        <v>7</v>
      </c>
      <c r="O547">
        <v>2900.86</v>
      </c>
      <c r="P547" s="3">
        <v>0.15</v>
      </c>
      <c r="Q547">
        <v>17260.12</v>
      </c>
      <c r="R547">
        <v>13513.51</v>
      </c>
      <c r="S547">
        <v>3746.61</v>
      </c>
      <c r="T547" t="s">
        <v>41</v>
      </c>
      <c r="U547" t="s">
        <v>42</v>
      </c>
      <c r="V547" s="3">
        <f t="shared" si="72"/>
        <v>0.15</v>
      </c>
      <c r="W547">
        <f t="shared" si="73"/>
        <v>17260.116999999998</v>
      </c>
      <c r="X547">
        <f t="shared" si="74"/>
        <v>3746.6069999999982</v>
      </c>
      <c r="Y547" s="4">
        <f t="shared" si="75"/>
        <v>0.21706730029697935</v>
      </c>
      <c r="Z547">
        <f t="shared" si="76"/>
        <v>3</v>
      </c>
      <c r="AA547">
        <f t="shared" si="77"/>
        <v>5</v>
      </c>
      <c r="AB547">
        <f t="shared" si="78"/>
        <v>2024</v>
      </c>
      <c r="AC547" t="str">
        <f t="shared" si="79"/>
        <v>Unique</v>
      </c>
      <c r="AD547" t="str">
        <f t="shared" si="80"/>
        <v>Clean</v>
      </c>
    </row>
    <row r="548" spans="1:30" x14ac:dyDescent="0.3">
      <c r="A548" t="s">
        <v>1745</v>
      </c>
      <c r="B548" s="2">
        <v>45883</v>
      </c>
      <c r="C548" s="2">
        <v>45891</v>
      </c>
      <c r="D548" t="s">
        <v>1746</v>
      </c>
      <c r="E548" t="s">
        <v>62</v>
      </c>
      <c r="F548" t="s">
        <v>99</v>
      </c>
      <c r="G548" t="s">
        <v>72</v>
      </c>
      <c r="H548" t="s">
        <v>189</v>
      </c>
      <c r="I548" t="s">
        <v>190</v>
      </c>
      <c r="J548" t="s">
        <v>37</v>
      </c>
      <c r="K548" t="s">
        <v>38</v>
      </c>
      <c r="L548" t="s">
        <v>1747</v>
      </c>
      <c r="M548" t="s">
        <v>59</v>
      </c>
      <c r="N548">
        <v>5</v>
      </c>
      <c r="O548">
        <v>2567.37</v>
      </c>
      <c r="P548" s="3">
        <v>0.15</v>
      </c>
      <c r="Q548">
        <v>10911.32</v>
      </c>
      <c r="R548">
        <v>6966.44</v>
      </c>
      <c r="S548">
        <v>4395.17</v>
      </c>
      <c r="T548" t="s">
        <v>41</v>
      </c>
      <c r="U548" t="s">
        <v>42</v>
      </c>
      <c r="V548" s="3">
        <f t="shared" si="72"/>
        <v>0.15</v>
      </c>
      <c r="W548">
        <f t="shared" si="73"/>
        <v>10911.322499999998</v>
      </c>
      <c r="X548">
        <f t="shared" si="74"/>
        <v>3944.8824999999988</v>
      </c>
      <c r="Y548" s="4">
        <f t="shared" si="75"/>
        <v>0.36154027158486052</v>
      </c>
      <c r="Z548">
        <f t="shared" si="76"/>
        <v>8</v>
      </c>
      <c r="AA548">
        <f t="shared" si="77"/>
        <v>8</v>
      </c>
      <c r="AB548">
        <f t="shared" si="78"/>
        <v>2025</v>
      </c>
      <c r="AC548" t="str">
        <f t="shared" si="79"/>
        <v>Unique</v>
      </c>
      <c r="AD548" t="str">
        <f t="shared" si="80"/>
        <v>Clean</v>
      </c>
    </row>
    <row r="549" spans="1:30" x14ac:dyDescent="0.3">
      <c r="A549" t="s">
        <v>1748</v>
      </c>
      <c r="B549" s="2">
        <v>45428</v>
      </c>
      <c r="C549" s="2">
        <v>45435</v>
      </c>
      <c r="D549" t="s">
        <v>1749</v>
      </c>
      <c r="E549" t="s">
        <v>88</v>
      </c>
      <c r="F549" t="s">
        <v>46</v>
      </c>
      <c r="G549" t="s">
        <v>34</v>
      </c>
      <c r="H549" t="s">
        <v>145</v>
      </c>
      <c r="I549" t="s">
        <v>146</v>
      </c>
      <c r="J549" t="s">
        <v>83</v>
      </c>
      <c r="K549" t="s">
        <v>89</v>
      </c>
      <c r="L549" t="s">
        <v>1750</v>
      </c>
      <c r="M549" t="s">
        <v>68</v>
      </c>
      <c r="N549">
        <v>9</v>
      </c>
      <c r="O549">
        <v>3722.09</v>
      </c>
      <c r="P549" s="3">
        <v>0.1</v>
      </c>
      <c r="Q549">
        <v>30148.93</v>
      </c>
      <c r="R549">
        <v>25155.07</v>
      </c>
      <c r="S549">
        <v>4993.8599999999997</v>
      </c>
      <c r="T549" t="s">
        <v>41</v>
      </c>
      <c r="U549" t="s">
        <v>42</v>
      </c>
      <c r="V549" s="3">
        <f t="shared" si="72"/>
        <v>0.1</v>
      </c>
      <c r="W549">
        <f t="shared" si="73"/>
        <v>30148.929</v>
      </c>
      <c r="X549">
        <f t="shared" si="74"/>
        <v>4993.8590000000004</v>
      </c>
      <c r="Y549" s="4">
        <f t="shared" si="75"/>
        <v>0.16563968159532302</v>
      </c>
      <c r="Z549">
        <f t="shared" si="76"/>
        <v>7</v>
      </c>
      <c r="AA549">
        <f t="shared" si="77"/>
        <v>5</v>
      </c>
      <c r="AB549">
        <f t="shared" si="78"/>
        <v>2024</v>
      </c>
      <c r="AC549" t="str">
        <f t="shared" si="79"/>
        <v>Unique</v>
      </c>
      <c r="AD549" t="str">
        <f t="shared" si="80"/>
        <v>Clean</v>
      </c>
    </row>
    <row r="550" spans="1:30" x14ac:dyDescent="0.3">
      <c r="A550" t="s">
        <v>1751</v>
      </c>
      <c r="B550" s="2">
        <v>45441</v>
      </c>
      <c r="C550" s="2">
        <v>45441</v>
      </c>
      <c r="D550" t="s">
        <v>1752</v>
      </c>
      <c r="E550" t="s">
        <v>150</v>
      </c>
      <c r="F550" t="s">
        <v>99</v>
      </c>
      <c r="G550" t="s">
        <v>47</v>
      </c>
      <c r="H550" t="s">
        <v>154</v>
      </c>
      <c r="I550" t="s">
        <v>155</v>
      </c>
      <c r="J550" t="s">
        <v>50</v>
      </c>
      <c r="K550" t="s">
        <v>167</v>
      </c>
      <c r="L550" t="s">
        <v>1753</v>
      </c>
      <c r="M550" t="s">
        <v>53</v>
      </c>
      <c r="N550">
        <v>1</v>
      </c>
      <c r="O550">
        <v>1072.01</v>
      </c>
      <c r="P550" s="3">
        <v>0</v>
      </c>
      <c r="Q550">
        <v>1072.01</v>
      </c>
      <c r="R550">
        <v>852.62</v>
      </c>
      <c r="S550">
        <v>219.39</v>
      </c>
      <c r="T550" t="s">
        <v>120</v>
      </c>
      <c r="U550" t="s">
        <v>77</v>
      </c>
      <c r="V550" s="3">
        <f t="shared" si="72"/>
        <v>0</v>
      </c>
      <c r="W550">
        <f t="shared" si="73"/>
        <v>1072.01</v>
      </c>
      <c r="X550">
        <f t="shared" si="74"/>
        <v>219.39</v>
      </c>
      <c r="Y550" s="4">
        <f t="shared" si="75"/>
        <v>0.20465294167032022</v>
      </c>
      <c r="Z550">
        <f t="shared" si="76"/>
        <v>0</v>
      </c>
      <c r="AA550">
        <f t="shared" si="77"/>
        <v>5</v>
      </c>
      <c r="AB550">
        <f t="shared" si="78"/>
        <v>2024</v>
      </c>
      <c r="AC550" t="str">
        <f t="shared" si="79"/>
        <v>Unique</v>
      </c>
      <c r="AD550" t="str">
        <f t="shared" si="80"/>
        <v>Warning</v>
      </c>
    </row>
    <row r="551" spans="1:30" x14ac:dyDescent="0.3">
      <c r="A551" t="s">
        <v>1754</v>
      </c>
      <c r="B551" s="2">
        <v>45941</v>
      </c>
      <c r="C551" s="2">
        <v>45943</v>
      </c>
      <c r="D551" t="s">
        <v>1755</v>
      </c>
      <c r="E551" t="s">
        <v>45</v>
      </c>
      <c r="F551" t="s">
        <v>99</v>
      </c>
      <c r="G551" t="s">
        <v>63</v>
      </c>
      <c r="H551" t="s">
        <v>64</v>
      </c>
      <c r="I551" t="s">
        <v>65</v>
      </c>
      <c r="J551" t="s">
        <v>37</v>
      </c>
      <c r="K551" t="s">
        <v>57</v>
      </c>
      <c r="L551" t="s">
        <v>1756</v>
      </c>
      <c r="M551" t="s">
        <v>40</v>
      </c>
      <c r="N551">
        <v>3</v>
      </c>
      <c r="O551">
        <v>3804.27</v>
      </c>
      <c r="P551" s="3">
        <v>0.1</v>
      </c>
      <c r="Q551">
        <v>10271.530000000001</v>
      </c>
      <c r="R551">
        <v>8272.24</v>
      </c>
      <c r="S551">
        <v>1999.29</v>
      </c>
      <c r="T551" t="s">
        <v>41</v>
      </c>
      <c r="U551" t="s">
        <v>42</v>
      </c>
      <c r="V551" s="3">
        <f t="shared" si="72"/>
        <v>0.1</v>
      </c>
      <c r="W551">
        <f t="shared" si="73"/>
        <v>10271.529</v>
      </c>
      <c r="X551">
        <f t="shared" si="74"/>
        <v>1999.2890000000007</v>
      </c>
      <c r="Y551" s="4">
        <f t="shared" si="75"/>
        <v>0.19464375751652949</v>
      </c>
      <c r="Z551">
        <f t="shared" si="76"/>
        <v>2</v>
      </c>
      <c r="AA551">
        <f t="shared" si="77"/>
        <v>10</v>
      </c>
      <c r="AB551">
        <f t="shared" si="78"/>
        <v>2025</v>
      </c>
      <c r="AC551" t="str">
        <f t="shared" si="79"/>
        <v>Unique</v>
      </c>
      <c r="AD551" t="str">
        <f t="shared" si="80"/>
        <v>Clean</v>
      </c>
    </row>
    <row r="552" spans="1:30" x14ac:dyDescent="0.3">
      <c r="A552" t="s">
        <v>1757</v>
      </c>
      <c r="B552" s="2">
        <v>45506</v>
      </c>
      <c r="C552" s="2">
        <v>45514</v>
      </c>
      <c r="D552" t="s">
        <v>1758</v>
      </c>
      <c r="E552" t="s">
        <v>45</v>
      </c>
      <c r="F552" t="s">
        <v>104</v>
      </c>
      <c r="G552" t="s">
        <v>47</v>
      </c>
      <c r="H552" t="s">
        <v>48</v>
      </c>
      <c r="I552" t="s">
        <v>49</v>
      </c>
      <c r="J552" t="s">
        <v>83</v>
      </c>
      <c r="K552" t="s">
        <v>84</v>
      </c>
      <c r="L552" t="s">
        <v>1759</v>
      </c>
      <c r="M552" t="s">
        <v>68</v>
      </c>
      <c r="N552">
        <v>6</v>
      </c>
      <c r="O552">
        <v>2126.44</v>
      </c>
      <c r="P552" s="3">
        <v>0.2</v>
      </c>
      <c r="Q552">
        <v>10206.91</v>
      </c>
      <c r="R552">
        <v>6764.53</v>
      </c>
      <c r="S552">
        <v>3442.38</v>
      </c>
      <c r="T552" t="s">
        <v>41</v>
      </c>
      <c r="U552" t="s">
        <v>42</v>
      </c>
      <c r="V552" s="3">
        <f t="shared" si="72"/>
        <v>0.2</v>
      </c>
      <c r="W552">
        <f t="shared" si="73"/>
        <v>10206.912</v>
      </c>
      <c r="X552">
        <f t="shared" si="74"/>
        <v>3442.3820000000005</v>
      </c>
      <c r="Y552" s="4">
        <f t="shared" si="75"/>
        <v>0.33725988820125036</v>
      </c>
      <c r="Z552">
        <f t="shared" si="76"/>
        <v>8</v>
      </c>
      <c r="AA552">
        <f t="shared" si="77"/>
        <v>8</v>
      </c>
      <c r="AB552">
        <f t="shared" si="78"/>
        <v>2024</v>
      </c>
      <c r="AC552" t="str">
        <f t="shared" si="79"/>
        <v>Unique</v>
      </c>
      <c r="AD552" t="str">
        <f t="shared" si="80"/>
        <v>Clean</v>
      </c>
    </row>
    <row r="553" spans="1:30" x14ac:dyDescent="0.3">
      <c r="A553" t="s">
        <v>1760</v>
      </c>
      <c r="B553" s="2">
        <v>45349</v>
      </c>
      <c r="C553" s="2">
        <v>45349</v>
      </c>
      <c r="D553" t="s">
        <v>1761</v>
      </c>
      <c r="E553" t="s">
        <v>141</v>
      </c>
      <c r="F553" t="s">
        <v>33</v>
      </c>
      <c r="G553" t="s">
        <v>47</v>
      </c>
      <c r="H553" t="s">
        <v>238</v>
      </c>
      <c r="I553" t="s">
        <v>239</v>
      </c>
      <c r="J553" t="s">
        <v>50</v>
      </c>
      <c r="K553" t="s">
        <v>75</v>
      </c>
      <c r="L553" t="s">
        <v>1762</v>
      </c>
      <c r="M553" t="s">
        <v>40</v>
      </c>
      <c r="N553">
        <v>3</v>
      </c>
      <c r="O553">
        <v>3148.09</v>
      </c>
      <c r="P553" s="3">
        <v>0.15</v>
      </c>
      <c r="Q553">
        <v>8027.63</v>
      </c>
      <c r="R553">
        <v>5496.09</v>
      </c>
      <c r="S553">
        <v>2531.54</v>
      </c>
      <c r="T553" t="s">
        <v>41</v>
      </c>
      <c r="U553" t="s">
        <v>42</v>
      </c>
      <c r="V553" s="3">
        <f t="shared" si="72"/>
        <v>0.15</v>
      </c>
      <c r="W553">
        <f t="shared" si="73"/>
        <v>8027.6295</v>
      </c>
      <c r="X553">
        <f t="shared" si="74"/>
        <v>2531.5394999999999</v>
      </c>
      <c r="Y553" s="4">
        <f t="shared" si="75"/>
        <v>0.31535330572991688</v>
      </c>
      <c r="Z553">
        <f t="shared" si="76"/>
        <v>0</v>
      </c>
      <c r="AA553">
        <f t="shared" si="77"/>
        <v>2</v>
      </c>
      <c r="AB553">
        <f t="shared" si="78"/>
        <v>2024</v>
      </c>
      <c r="AC553" t="str">
        <f t="shared" si="79"/>
        <v>Unique</v>
      </c>
      <c r="AD553" t="str">
        <f t="shared" si="80"/>
        <v>Clean</v>
      </c>
    </row>
    <row r="554" spans="1:30" x14ac:dyDescent="0.3">
      <c r="A554" t="s">
        <v>1763</v>
      </c>
      <c r="B554" s="2">
        <v>45681</v>
      </c>
      <c r="C554" s="2">
        <v>45687</v>
      </c>
      <c r="D554" t="s">
        <v>1764</v>
      </c>
      <c r="E554" t="s">
        <v>71</v>
      </c>
      <c r="F554" t="s">
        <v>99</v>
      </c>
      <c r="G554" t="s">
        <v>47</v>
      </c>
      <c r="H554" t="s">
        <v>108</v>
      </c>
      <c r="I554" t="s">
        <v>109</v>
      </c>
      <c r="J554" t="s">
        <v>83</v>
      </c>
      <c r="K554" t="s">
        <v>89</v>
      </c>
      <c r="L554" t="s">
        <v>1765</v>
      </c>
      <c r="M554" t="s">
        <v>68</v>
      </c>
      <c r="N554">
        <v>8</v>
      </c>
      <c r="O554">
        <v>312.52999999999997</v>
      </c>
      <c r="P554" s="3" t="s">
        <v>473</v>
      </c>
      <c r="Q554">
        <v>1875.18</v>
      </c>
      <c r="R554">
        <v>1579.17</v>
      </c>
      <c r="S554">
        <v>296.01</v>
      </c>
      <c r="T554" t="s">
        <v>41</v>
      </c>
      <c r="U554" t="s">
        <v>42</v>
      </c>
      <c r="V554" s="3">
        <f t="shared" si="72"/>
        <v>0.7</v>
      </c>
      <c r="W554">
        <f t="shared" si="73"/>
        <v>750.072</v>
      </c>
      <c r="X554">
        <f t="shared" si="74"/>
        <v>-829.09800000000007</v>
      </c>
      <c r="Y554" s="4">
        <f t="shared" si="75"/>
        <v>-1.1053578856429784</v>
      </c>
      <c r="Z554">
        <f t="shared" si="76"/>
        <v>6</v>
      </c>
      <c r="AA554">
        <f t="shared" si="77"/>
        <v>1</v>
      </c>
      <c r="AB554">
        <f t="shared" si="78"/>
        <v>2025</v>
      </c>
      <c r="AC554" t="str">
        <f t="shared" si="79"/>
        <v>Unique</v>
      </c>
      <c r="AD554" t="str">
        <f t="shared" si="80"/>
        <v>Invalid</v>
      </c>
    </row>
    <row r="555" spans="1:30" x14ac:dyDescent="0.3">
      <c r="A555" t="s">
        <v>1766</v>
      </c>
      <c r="B555" s="2">
        <v>45772</v>
      </c>
      <c r="C555" s="2">
        <v>45775</v>
      </c>
      <c r="D555" t="s">
        <v>1767</v>
      </c>
      <c r="E555" t="s">
        <v>137</v>
      </c>
      <c r="F555" t="s">
        <v>46</v>
      </c>
      <c r="G555" t="s">
        <v>72</v>
      </c>
      <c r="H555" t="s">
        <v>189</v>
      </c>
      <c r="I555" t="s">
        <v>190</v>
      </c>
      <c r="J555" t="s">
        <v>37</v>
      </c>
      <c r="K555" t="s">
        <v>133</v>
      </c>
      <c r="L555" t="s">
        <v>1768</v>
      </c>
      <c r="M555" t="s">
        <v>59</v>
      </c>
      <c r="N555">
        <v>9</v>
      </c>
      <c r="O555">
        <v>1294.1099999999999</v>
      </c>
      <c r="P555" s="3">
        <v>0.25</v>
      </c>
      <c r="Q555">
        <v>8735.24</v>
      </c>
      <c r="R555">
        <v>6620.07</v>
      </c>
      <c r="S555">
        <v>2115.17</v>
      </c>
      <c r="T555" t="s">
        <v>41</v>
      </c>
      <c r="U555" t="s">
        <v>42</v>
      </c>
      <c r="V555" s="3">
        <f t="shared" si="72"/>
        <v>0.25</v>
      </c>
      <c r="W555">
        <f t="shared" si="73"/>
        <v>8735.2425000000003</v>
      </c>
      <c r="X555">
        <f t="shared" si="74"/>
        <v>2115.1725000000006</v>
      </c>
      <c r="Y555" s="4">
        <f t="shared" si="75"/>
        <v>0.24214239043735769</v>
      </c>
      <c r="Z555">
        <f t="shared" si="76"/>
        <v>3</v>
      </c>
      <c r="AA555">
        <f t="shared" si="77"/>
        <v>4</v>
      </c>
      <c r="AB555">
        <f t="shared" si="78"/>
        <v>2025</v>
      </c>
      <c r="AC555" t="str">
        <f t="shared" si="79"/>
        <v>Unique</v>
      </c>
      <c r="AD555" t="str">
        <f t="shared" si="80"/>
        <v>Clean</v>
      </c>
    </row>
    <row r="556" spans="1:30" x14ac:dyDescent="0.3">
      <c r="A556" t="s">
        <v>1769</v>
      </c>
      <c r="B556" s="2">
        <v>45577</v>
      </c>
      <c r="C556" s="2">
        <v>45582</v>
      </c>
      <c r="D556" t="s">
        <v>1770</v>
      </c>
      <c r="E556" t="s">
        <v>62</v>
      </c>
      <c r="F556" t="s">
        <v>33</v>
      </c>
      <c r="G556" t="s">
        <v>214</v>
      </c>
      <c r="H556" t="s">
        <v>238</v>
      </c>
      <c r="I556" t="s">
        <v>239</v>
      </c>
      <c r="J556" t="s">
        <v>50</v>
      </c>
      <c r="K556" t="s">
        <v>66</v>
      </c>
      <c r="L556" t="s">
        <v>1771</v>
      </c>
      <c r="M556" t="s">
        <v>68</v>
      </c>
      <c r="N556">
        <v>4</v>
      </c>
      <c r="O556">
        <v>1071.22</v>
      </c>
      <c r="P556" s="3">
        <v>0.05</v>
      </c>
      <c r="Q556">
        <v>4070.64</v>
      </c>
      <c r="R556">
        <v>2831.62</v>
      </c>
      <c r="S556">
        <v>1239.02</v>
      </c>
      <c r="T556" t="s">
        <v>41</v>
      </c>
      <c r="U556" t="s">
        <v>42</v>
      </c>
      <c r="V556" s="3">
        <f t="shared" si="72"/>
        <v>0.05</v>
      </c>
      <c r="W556">
        <f t="shared" si="73"/>
        <v>4070.636</v>
      </c>
      <c r="X556">
        <f t="shared" si="74"/>
        <v>1239.0160000000001</v>
      </c>
      <c r="Y556" s="4">
        <f t="shared" si="75"/>
        <v>0.30437897173807732</v>
      </c>
      <c r="Z556">
        <f t="shared" si="76"/>
        <v>5</v>
      </c>
      <c r="AA556">
        <f t="shared" si="77"/>
        <v>10</v>
      </c>
      <c r="AB556">
        <f t="shared" si="78"/>
        <v>2024</v>
      </c>
      <c r="AC556" t="str">
        <f t="shared" si="79"/>
        <v>Unique</v>
      </c>
      <c r="AD556" t="str">
        <f t="shared" si="80"/>
        <v>Warning</v>
      </c>
    </row>
    <row r="557" spans="1:30" x14ac:dyDescent="0.3">
      <c r="A557" t="s">
        <v>1772</v>
      </c>
      <c r="B557" s="2">
        <v>45692</v>
      </c>
      <c r="C557" s="2">
        <v>45698</v>
      </c>
      <c r="D557" t="s">
        <v>1773</v>
      </c>
      <c r="E557" t="s">
        <v>71</v>
      </c>
      <c r="F557" t="s">
        <v>46</v>
      </c>
      <c r="G557" t="s">
        <v>63</v>
      </c>
      <c r="H557" t="s">
        <v>64</v>
      </c>
      <c r="I557" t="s">
        <v>65</v>
      </c>
      <c r="J557" t="s">
        <v>37</v>
      </c>
      <c r="K557" t="s">
        <v>133</v>
      </c>
      <c r="L557" t="s">
        <v>1774</v>
      </c>
      <c r="M557" t="s">
        <v>68</v>
      </c>
      <c r="N557">
        <v>6</v>
      </c>
      <c r="O557">
        <v>1042.8</v>
      </c>
      <c r="P557" s="3">
        <v>0.05</v>
      </c>
      <c r="Q557">
        <v>5943.96</v>
      </c>
      <c r="R557">
        <v>3604.14</v>
      </c>
      <c r="S557">
        <v>2339.8200000000002</v>
      </c>
      <c r="T557" t="s">
        <v>41</v>
      </c>
      <c r="U557" t="s">
        <v>42</v>
      </c>
      <c r="V557" s="3">
        <f t="shared" si="72"/>
        <v>0.05</v>
      </c>
      <c r="W557">
        <f t="shared" si="73"/>
        <v>5943.9599999999991</v>
      </c>
      <c r="X557">
        <f t="shared" si="74"/>
        <v>2339.8199999999993</v>
      </c>
      <c r="Y557" s="4">
        <f t="shared" si="75"/>
        <v>0.39364665980255581</v>
      </c>
      <c r="Z557">
        <f t="shared" si="76"/>
        <v>6</v>
      </c>
      <c r="AA557">
        <f t="shared" si="77"/>
        <v>2</v>
      </c>
      <c r="AB557">
        <f t="shared" si="78"/>
        <v>2025</v>
      </c>
      <c r="AC557" t="str">
        <f t="shared" si="79"/>
        <v>Unique</v>
      </c>
      <c r="AD557" t="str">
        <f t="shared" si="80"/>
        <v>Clean</v>
      </c>
    </row>
    <row r="558" spans="1:30" x14ac:dyDescent="0.3">
      <c r="A558" t="s">
        <v>1775</v>
      </c>
      <c r="B558" s="2">
        <v>45466</v>
      </c>
      <c r="C558" s="2">
        <v>45472</v>
      </c>
      <c r="D558" t="s">
        <v>1776</v>
      </c>
      <c r="E558" t="s">
        <v>88</v>
      </c>
      <c r="F558" t="s">
        <v>33</v>
      </c>
      <c r="G558" t="s">
        <v>34</v>
      </c>
      <c r="H558" t="s">
        <v>246</v>
      </c>
      <c r="I558" t="s">
        <v>247</v>
      </c>
      <c r="J558" t="s">
        <v>50</v>
      </c>
      <c r="K558" t="s">
        <v>51</v>
      </c>
      <c r="L558" t="s">
        <v>1777</v>
      </c>
      <c r="M558" t="s">
        <v>59</v>
      </c>
      <c r="N558">
        <v>1</v>
      </c>
      <c r="O558">
        <v>4426.66</v>
      </c>
      <c r="P558" s="3">
        <v>0</v>
      </c>
      <c r="Q558">
        <v>4426.66</v>
      </c>
      <c r="R558">
        <v>3035.2</v>
      </c>
      <c r="S558">
        <v>1816.23</v>
      </c>
      <c r="T558" t="s">
        <v>41</v>
      </c>
      <c r="U558" t="s">
        <v>112</v>
      </c>
      <c r="V558" s="3">
        <f t="shared" si="72"/>
        <v>0</v>
      </c>
      <c r="W558">
        <f t="shared" si="73"/>
        <v>4426.66</v>
      </c>
      <c r="X558">
        <f t="shared" si="74"/>
        <v>1391.46</v>
      </c>
      <c r="Y558" s="4">
        <f t="shared" si="75"/>
        <v>0.31433631677156143</v>
      </c>
      <c r="Z558">
        <f t="shared" si="76"/>
        <v>6</v>
      </c>
      <c r="AA558">
        <f t="shared" si="77"/>
        <v>6</v>
      </c>
      <c r="AB558">
        <f t="shared" si="78"/>
        <v>2024</v>
      </c>
      <c r="AC558" t="str">
        <f t="shared" si="79"/>
        <v>Unique</v>
      </c>
      <c r="AD558" t="str">
        <f t="shared" si="80"/>
        <v>Clean</v>
      </c>
    </row>
    <row r="559" spans="1:30" x14ac:dyDescent="0.3">
      <c r="A559" t="s">
        <v>1778</v>
      </c>
      <c r="B559" s="2">
        <v>45420</v>
      </c>
      <c r="C559" s="2">
        <v>45426</v>
      </c>
      <c r="D559" t="s">
        <v>1779</v>
      </c>
      <c r="E559" t="s">
        <v>80</v>
      </c>
      <c r="F559" t="s">
        <v>104</v>
      </c>
      <c r="G559" t="s">
        <v>34</v>
      </c>
      <c r="H559" t="s">
        <v>246</v>
      </c>
      <c r="I559" t="s">
        <v>247</v>
      </c>
      <c r="J559" t="s">
        <v>83</v>
      </c>
      <c r="K559" t="s">
        <v>180</v>
      </c>
      <c r="L559" t="s">
        <v>1780</v>
      </c>
      <c r="M559" t="s">
        <v>59</v>
      </c>
      <c r="N559">
        <v>9</v>
      </c>
      <c r="O559">
        <v>3769.46</v>
      </c>
      <c r="P559" s="3">
        <v>0.05</v>
      </c>
      <c r="Q559">
        <v>32228.880000000001</v>
      </c>
      <c r="R559">
        <v>24971.360000000001</v>
      </c>
      <c r="S559">
        <v>7257.52</v>
      </c>
      <c r="T559" t="s">
        <v>41</v>
      </c>
      <c r="U559" t="s">
        <v>77</v>
      </c>
      <c r="V559" s="3">
        <f t="shared" si="72"/>
        <v>0.05</v>
      </c>
      <c r="W559">
        <f t="shared" si="73"/>
        <v>32228.882999999998</v>
      </c>
      <c r="X559">
        <f t="shared" si="74"/>
        <v>7257.5229999999974</v>
      </c>
      <c r="Y559" s="4">
        <f t="shared" si="75"/>
        <v>0.22518692317074712</v>
      </c>
      <c r="Z559">
        <f t="shared" si="76"/>
        <v>6</v>
      </c>
      <c r="AA559">
        <f t="shared" si="77"/>
        <v>5</v>
      </c>
      <c r="AB559">
        <f t="shared" si="78"/>
        <v>2024</v>
      </c>
      <c r="AC559" t="str">
        <f t="shared" si="79"/>
        <v>Unique</v>
      </c>
      <c r="AD559" t="str">
        <f t="shared" si="80"/>
        <v>Warning</v>
      </c>
    </row>
    <row r="560" spans="1:30" x14ac:dyDescent="0.3">
      <c r="A560" t="s">
        <v>1781</v>
      </c>
      <c r="B560" s="2">
        <v>45904</v>
      </c>
      <c r="C560" s="2">
        <v>45904</v>
      </c>
      <c r="D560" t="s">
        <v>1782</v>
      </c>
      <c r="E560" t="s">
        <v>98</v>
      </c>
      <c r="F560" t="s">
        <v>99</v>
      </c>
      <c r="G560" t="s">
        <v>34</v>
      </c>
      <c r="H560" t="s">
        <v>131</v>
      </c>
      <c r="I560" t="s">
        <v>132</v>
      </c>
      <c r="J560" t="s">
        <v>83</v>
      </c>
      <c r="K560" t="s">
        <v>284</v>
      </c>
      <c r="L560" t="s">
        <v>1783</v>
      </c>
      <c r="M560" t="s">
        <v>59</v>
      </c>
      <c r="N560">
        <v>8</v>
      </c>
      <c r="O560">
        <v>3079.95</v>
      </c>
      <c r="P560" s="3">
        <v>0.2</v>
      </c>
      <c r="Q560">
        <v>19711.68</v>
      </c>
      <c r="R560">
        <v>14461.8</v>
      </c>
      <c r="S560">
        <v>5249.88</v>
      </c>
      <c r="T560" t="s">
        <v>41</v>
      </c>
      <c r="U560" t="s">
        <v>42</v>
      </c>
      <c r="V560" s="3">
        <f t="shared" si="72"/>
        <v>0.2</v>
      </c>
      <c r="W560">
        <f t="shared" si="73"/>
        <v>19711.68</v>
      </c>
      <c r="X560">
        <f t="shared" si="74"/>
        <v>5249.880000000001</v>
      </c>
      <c r="Y560" s="4">
        <f t="shared" si="75"/>
        <v>0.26633346320557155</v>
      </c>
      <c r="Z560">
        <f t="shared" si="76"/>
        <v>0</v>
      </c>
      <c r="AA560">
        <f t="shared" si="77"/>
        <v>9</v>
      </c>
      <c r="AB560">
        <f t="shared" si="78"/>
        <v>2025</v>
      </c>
      <c r="AC560" t="str">
        <f t="shared" si="79"/>
        <v>Unique</v>
      </c>
      <c r="AD560" t="str">
        <f t="shared" si="80"/>
        <v>Clean</v>
      </c>
    </row>
    <row r="561" spans="1:30" x14ac:dyDescent="0.3">
      <c r="A561" t="s">
        <v>1784</v>
      </c>
      <c r="B561" s="2">
        <v>45930</v>
      </c>
      <c r="C561" s="2">
        <v>45937</v>
      </c>
      <c r="D561" t="s">
        <v>1785</v>
      </c>
      <c r="E561" t="s">
        <v>171</v>
      </c>
      <c r="F561" t="s">
        <v>99</v>
      </c>
      <c r="G561" t="s">
        <v>47</v>
      </c>
      <c r="H561" t="s">
        <v>154</v>
      </c>
      <c r="I561" t="s">
        <v>155</v>
      </c>
      <c r="J561" t="s">
        <v>83</v>
      </c>
      <c r="K561" t="s">
        <v>89</v>
      </c>
      <c r="L561" t="s">
        <v>1786</v>
      </c>
      <c r="M561" t="s">
        <v>40</v>
      </c>
      <c r="N561">
        <v>5</v>
      </c>
      <c r="O561">
        <v>3277.82</v>
      </c>
      <c r="P561" s="3">
        <v>0.1</v>
      </c>
      <c r="Q561">
        <v>14750.19</v>
      </c>
      <c r="R561">
        <v>9482.58</v>
      </c>
      <c r="S561">
        <v>5267.61</v>
      </c>
      <c r="T561" t="s">
        <v>41</v>
      </c>
      <c r="U561" t="s">
        <v>112</v>
      </c>
      <c r="V561" s="3">
        <f t="shared" si="72"/>
        <v>0.1</v>
      </c>
      <c r="W561">
        <f t="shared" si="73"/>
        <v>14750.190000000002</v>
      </c>
      <c r="X561">
        <f t="shared" si="74"/>
        <v>5267.6100000000024</v>
      </c>
      <c r="Y561" s="4">
        <f t="shared" si="75"/>
        <v>0.35712150148574368</v>
      </c>
      <c r="Z561">
        <f t="shared" si="76"/>
        <v>7</v>
      </c>
      <c r="AA561">
        <f t="shared" si="77"/>
        <v>9</v>
      </c>
      <c r="AB561">
        <f t="shared" si="78"/>
        <v>2025</v>
      </c>
      <c r="AC561" t="str">
        <f t="shared" si="79"/>
        <v>Unique</v>
      </c>
      <c r="AD561" t="str">
        <f t="shared" si="80"/>
        <v>Clean</v>
      </c>
    </row>
    <row r="562" spans="1:30" x14ac:dyDescent="0.3">
      <c r="A562" t="s">
        <v>1787</v>
      </c>
      <c r="B562" s="2">
        <v>45307</v>
      </c>
      <c r="C562" s="2">
        <v>45313</v>
      </c>
      <c r="D562" t="s">
        <v>1788</v>
      </c>
      <c r="E562" t="s">
        <v>62</v>
      </c>
      <c r="F562" t="s">
        <v>33</v>
      </c>
      <c r="G562" t="s">
        <v>72</v>
      </c>
      <c r="H562" t="s">
        <v>199</v>
      </c>
      <c r="I562" t="s">
        <v>200</v>
      </c>
      <c r="J562" t="s">
        <v>37</v>
      </c>
      <c r="K562" t="s">
        <v>133</v>
      </c>
      <c r="L562" t="s">
        <v>1789</v>
      </c>
      <c r="M562" t="s">
        <v>68</v>
      </c>
      <c r="N562">
        <v>4</v>
      </c>
      <c r="O562">
        <v>282.52999999999997</v>
      </c>
      <c r="P562" s="3">
        <v>0</v>
      </c>
      <c r="Q562">
        <v>1130.1199999999999</v>
      </c>
      <c r="R562">
        <v>848.62</v>
      </c>
      <c r="S562">
        <v>281.5</v>
      </c>
      <c r="T562" t="s">
        <v>41</v>
      </c>
      <c r="U562" t="s">
        <v>77</v>
      </c>
      <c r="V562" s="3">
        <f t="shared" si="72"/>
        <v>0</v>
      </c>
      <c r="W562">
        <f t="shared" si="73"/>
        <v>1130.1199999999999</v>
      </c>
      <c r="X562">
        <f t="shared" si="74"/>
        <v>281.49999999999989</v>
      </c>
      <c r="Y562" s="4">
        <f t="shared" si="75"/>
        <v>0.249088592361873</v>
      </c>
      <c r="Z562">
        <f t="shared" si="76"/>
        <v>6</v>
      </c>
      <c r="AA562">
        <f t="shared" si="77"/>
        <v>1</v>
      </c>
      <c r="AB562">
        <f t="shared" si="78"/>
        <v>2024</v>
      </c>
      <c r="AC562" t="str">
        <f t="shared" si="79"/>
        <v>Unique</v>
      </c>
      <c r="AD562" t="str">
        <f t="shared" si="80"/>
        <v>Warning</v>
      </c>
    </row>
    <row r="563" spans="1:30" x14ac:dyDescent="0.3">
      <c r="A563" t="s">
        <v>1790</v>
      </c>
      <c r="B563" s="2">
        <v>45852</v>
      </c>
      <c r="C563" s="2">
        <v>45856</v>
      </c>
      <c r="D563" t="s">
        <v>1791</v>
      </c>
      <c r="E563" t="s">
        <v>98</v>
      </c>
      <c r="F563" t="s">
        <v>33</v>
      </c>
      <c r="G563" t="s">
        <v>34</v>
      </c>
      <c r="H563" t="s">
        <v>131</v>
      </c>
      <c r="I563" t="s">
        <v>132</v>
      </c>
      <c r="J563" t="s">
        <v>83</v>
      </c>
      <c r="K563" t="s">
        <v>89</v>
      </c>
      <c r="L563" t="s">
        <v>1792</v>
      </c>
      <c r="M563" t="s">
        <v>59</v>
      </c>
      <c r="N563">
        <v>4</v>
      </c>
      <c r="O563">
        <v>725.22</v>
      </c>
      <c r="P563" s="3">
        <v>0</v>
      </c>
      <c r="Q563">
        <v>2900.88</v>
      </c>
      <c r="R563">
        <v>2391.85</v>
      </c>
      <c r="S563">
        <v>509.03</v>
      </c>
      <c r="T563" t="s">
        <v>120</v>
      </c>
      <c r="U563" t="s">
        <v>112</v>
      </c>
      <c r="V563" s="3">
        <f t="shared" si="72"/>
        <v>0</v>
      </c>
      <c r="W563">
        <f t="shared" si="73"/>
        <v>2900.88</v>
      </c>
      <c r="X563">
        <f t="shared" si="74"/>
        <v>509.0300000000002</v>
      </c>
      <c r="Y563" s="4">
        <f t="shared" si="75"/>
        <v>0.17547433882132324</v>
      </c>
      <c r="Z563">
        <f t="shared" si="76"/>
        <v>4</v>
      </c>
      <c r="AA563">
        <f t="shared" si="77"/>
        <v>7</v>
      </c>
      <c r="AB563">
        <f t="shared" si="78"/>
        <v>2025</v>
      </c>
      <c r="AC563" t="str">
        <f t="shared" si="79"/>
        <v>Unique</v>
      </c>
      <c r="AD563" t="str">
        <f t="shared" si="80"/>
        <v>Clean</v>
      </c>
    </row>
    <row r="564" spans="1:30" x14ac:dyDescent="0.3">
      <c r="A564" t="s">
        <v>1793</v>
      </c>
      <c r="B564" s="2">
        <v>45422</v>
      </c>
      <c r="C564" s="2">
        <v>45428</v>
      </c>
      <c r="D564" t="s">
        <v>1794</v>
      </c>
      <c r="E564" t="s">
        <v>32</v>
      </c>
      <c r="F564" t="s">
        <v>33</v>
      </c>
      <c r="G564" t="s">
        <v>34</v>
      </c>
      <c r="H564" t="s">
        <v>131</v>
      </c>
      <c r="I564" t="s">
        <v>132</v>
      </c>
      <c r="J564" t="s">
        <v>37</v>
      </c>
      <c r="K564" t="s">
        <v>162</v>
      </c>
      <c r="L564" t="s">
        <v>1795</v>
      </c>
      <c r="M564" t="s">
        <v>53</v>
      </c>
      <c r="N564">
        <v>7</v>
      </c>
      <c r="O564">
        <v>121.54</v>
      </c>
      <c r="P564" s="3">
        <v>0.2</v>
      </c>
      <c r="Q564">
        <v>680.62</v>
      </c>
      <c r="R564">
        <v>463.49</v>
      </c>
      <c r="S564">
        <v>217.13</v>
      </c>
      <c r="T564" t="s">
        <v>164</v>
      </c>
      <c r="U564" t="s">
        <v>112</v>
      </c>
      <c r="V564" s="3">
        <f t="shared" si="72"/>
        <v>0.2</v>
      </c>
      <c r="W564">
        <f t="shared" si="73"/>
        <v>680.62400000000014</v>
      </c>
      <c r="X564">
        <f t="shared" si="74"/>
        <v>217.13400000000013</v>
      </c>
      <c r="Y564" s="4">
        <f t="shared" si="75"/>
        <v>0.31902195632243363</v>
      </c>
      <c r="Z564">
        <f t="shared" si="76"/>
        <v>6</v>
      </c>
      <c r="AA564">
        <f t="shared" si="77"/>
        <v>5</v>
      </c>
      <c r="AB564">
        <f t="shared" si="78"/>
        <v>2024</v>
      </c>
      <c r="AC564" t="str">
        <f t="shared" si="79"/>
        <v>Unique</v>
      </c>
      <c r="AD564" t="str">
        <f t="shared" si="80"/>
        <v>Warning</v>
      </c>
    </row>
    <row r="565" spans="1:30" x14ac:dyDescent="0.3">
      <c r="A565" t="s">
        <v>1796</v>
      </c>
      <c r="B565" s="2">
        <v>45418</v>
      </c>
      <c r="C565" s="2">
        <v>45424</v>
      </c>
      <c r="D565" t="s">
        <v>1797</v>
      </c>
      <c r="E565" t="s">
        <v>62</v>
      </c>
      <c r="F565" t="s">
        <v>99</v>
      </c>
      <c r="G565" t="s">
        <v>72</v>
      </c>
      <c r="H565" t="s">
        <v>199</v>
      </c>
      <c r="I565" t="s">
        <v>200</v>
      </c>
      <c r="J565" t="s">
        <v>50</v>
      </c>
      <c r="K565" t="s">
        <v>51</v>
      </c>
      <c r="L565" t="s">
        <v>1798</v>
      </c>
      <c r="M565" t="s">
        <v>68</v>
      </c>
      <c r="N565">
        <v>9</v>
      </c>
      <c r="O565">
        <v>790.97</v>
      </c>
      <c r="P565" s="3">
        <v>0.2</v>
      </c>
      <c r="Q565">
        <v>5694.98</v>
      </c>
      <c r="R565">
        <v>4618.33</v>
      </c>
      <c r="S565">
        <v>1076.6500000000001</v>
      </c>
      <c r="T565" t="s">
        <v>120</v>
      </c>
      <c r="U565" t="s">
        <v>77</v>
      </c>
      <c r="V565" s="3">
        <f t="shared" si="72"/>
        <v>0.2</v>
      </c>
      <c r="W565">
        <f t="shared" si="73"/>
        <v>5694.9840000000004</v>
      </c>
      <c r="X565">
        <f t="shared" si="74"/>
        <v>1076.6540000000005</v>
      </c>
      <c r="Y565" s="4">
        <f t="shared" si="75"/>
        <v>0.1890530333360024</v>
      </c>
      <c r="Z565">
        <f t="shared" si="76"/>
        <v>6</v>
      </c>
      <c r="AA565">
        <f t="shared" si="77"/>
        <v>5</v>
      </c>
      <c r="AB565">
        <f t="shared" si="78"/>
        <v>2024</v>
      </c>
      <c r="AC565" t="str">
        <f t="shared" si="79"/>
        <v>Unique</v>
      </c>
      <c r="AD565" t="str">
        <f t="shared" si="80"/>
        <v>Warning</v>
      </c>
    </row>
    <row r="566" spans="1:30" x14ac:dyDescent="0.3">
      <c r="A566" t="s">
        <v>1799</v>
      </c>
      <c r="B566" s="2">
        <v>45606</v>
      </c>
      <c r="C566" s="2">
        <v>45610</v>
      </c>
      <c r="D566" t="s">
        <v>1800</v>
      </c>
      <c r="E566" t="s">
        <v>141</v>
      </c>
      <c r="F566" t="s">
        <v>99</v>
      </c>
      <c r="G566" t="s">
        <v>63</v>
      </c>
      <c r="H566" t="s">
        <v>93</v>
      </c>
      <c r="I566" t="s">
        <v>94</v>
      </c>
      <c r="J566" t="s">
        <v>50</v>
      </c>
      <c r="K566" t="s">
        <v>51</v>
      </c>
      <c r="L566" t="s">
        <v>1801</v>
      </c>
      <c r="M566" t="s">
        <v>59</v>
      </c>
      <c r="N566">
        <v>2</v>
      </c>
      <c r="O566">
        <v>921.34</v>
      </c>
      <c r="P566" s="3">
        <v>0.2</v>
      </c>
      <c r="Q566">
        <v>1474.14</v>
      </c>
      <c r="R566">
        <v>968.46</v>
      </c>
      <c r="S566">
        <v>505.68</v>
      </c>
      <c r="T566" t="s">
        <v>41</v>
      </c>
      <c r="U566" t="s">
        <v>42</v>
      </c>
      <c r="V566" s="3">
        <f t="shared" si="72"/>
        <v>0.2</v>
      </c>
      <c r="W566">
        <f t="shared" si="73"/>
        <v>1474.1440000000002</v>
      </c>
      <c r="X566">
        <f t="shared" si="74"/>
        <v>505.6840000000002</v>
      </c>
      <c r="Y566" s="4">
        <f t="shared" si="75"/>
        <v>0.34303568715132315</v>
      </c>
      <c r="Z566">
        <f t="shared" si="76"/>
        <v>4</v>
      </c>
      <c r="AA566">
        <f t="shared" si="77"/>
        <v>11</v>
      </c>
      <c r="AB566">
        <f t="shared" si="78"/>
        <v>2024</v>
      </c>
      <c r="AC566" t="str">
        <f t="shared" si="79"/>
        <v>Unique</v>
      </c>
      <c r="AD566" t="str">
        <f t="shared" si="80"/>
        <v>Clean</v>
      </c>
    </row>
    <row r="567" spans="1:30" x14ac:dyDescent="0.3">
      <c r="A567" t="s">
        <v>1802</v>
      </c>
      <c r="B567" s="2">
        <v>45876</v>
      </c>
      <c r="C567" s="2">
        <v>45882</v>
      </c>
      <c r="D567" t="s">
        <v>1803</v>
      </c>
      <c r="E567" t="s">
        <v>45</v>
      </c>
      <c r="F567" t="s">
        <v>99</v>
      </c>
      <c r="G567" t="s">
        <v>34</v>
      </c>
      <c r="H567" t="s">
        <v>360</v>
      </c>
      <c r="I567" t="s">
        <v>361</v>
      </c>
      <c r="J567" t="s">
        <v>83</v>
      </c>
      <c r="K567" t="s">
        <v>180</v>
      </c>
      <c r="L567" t="s">
        <v>1804</v>
      </c>
      <c r="M567" t="s">
        <v>68</v>
      </c>
      <c r="N567">
        <v>6</v>
      </c>
      <c r="O567">
        <v>1921.86</v>
      </c>
      <c r="P567" s="3">
        <v>0.2</v>
      </c>
      <c r="Q567">
        <v>9224.93</v>
      </c>
      <c r="R567">
        <v>7005.2</v>
      </c>
      <c r="S567">
        <v>2219.73</v>
      </c>
      <c r="T567" t="s">
        <v>111</v>
      </c>
      <c r="U567" t="s">
        <v>77</v>
      </c>
      <c r="V567" s="3">
        <f t="shared" si="72"/>
        <v>0.2</v>
      </c>
      <c r="W567">
        <f t="shared" si="73"/>
        <v>9224.9279999999999</v>
      </c>
      <c r="X567">
        <f t="shared" si="74"/>
        <v>2219.7280000000001</v>
      </c>
      <c r="Y567" s="4">
        <f t="shared" si="75"/>
        <v>0.24062279944081949</v>
      </c>
      <c r="Z567">
        <f t="shared" si="76"/>
        <v>6</v>
      </c>
      <c r="AA567">
        <f t="shared" si="77"/>
        <v>8</v>
      </c>
      <c r="AB567">
        <f t="shared" si="78"/>
        <v>2025</v>
      </c>
      <c r="AC567" t="str">
        <f t="shared" si="79"/>
        <v>Unique</v>
      </c>
      <c r="AD567" t="str">
        <f t="shared" si="80"/>
        <v>Warning</v>
      </c>
    </row>
    <row r="568" spans="1:30" x14ac:dyDescent="0.3">
      <c r="A568" t="s">
        <v>1805</v>
      </c>
      <c r="B568" s="2">
        <v>45515</v>
      </c>
      <c r="C568" s="2">
        <v>45523</v>
      </c>
      <c r="D568" t="s">
        <v>1806</v>
      </c>
      <c r="E568" t="s">
        <v>141</v>
      </c>
      <c r="F568" t="s">
        <v>46</v>
      </c>
      <c r="G568" t="s">
        <v>72</v>
      </c>
      <c r="H568" t="s">
        <v>73</v>
      </c>
      <c r="I568" t="s">
        <v>74</v>
      </c>
      <c r="J568" t="s">
        <v>37</v>
      </c>
      <c r="K568" t="s">
        <v>38</v>
      </c>
      <c r="L568" t="s">
        <v>1807</v>
      </c>
      <c r="M568" t="s">
        <v>53</v>
      </c>
      <c r="N568">
        <v>2</v>
      </c>
      <c r="O568">
        <v>2617.89</v>
      </c>
      <c r="P568" s="3">
        <v>0.1</v>
      </c>
      <c r="Q568">
        <v>4712.2</v>
      </c>
      <c r="R568">
        <v>3851.91</v>
      </c>
      <c r="S568">
        <v>860.29</v>
      </c>
      <c r="T568" t="s">
        <v>164</v>
      </c>
      <c r="U568" t="s">
        <v>112</v>
      </c>
      <c r="V568" s="3">
        <f t="shared" si="72"/>
        <v>0.1</v>
      </c>
      <c r="W568">
        <f t="shared" si="73"/>
        <v>4712.2020000000002</v>
      </c>
      <c r="X568">
        <f t="shared" si="74"/>
        <v>860.29200000000037</v>
      </c>
      <c r="Y568" s="4">
        <f t="shared" si="75"/>
        <v>0.18256687637754077</v>
      </c>
      <c r="Z568">
        <f t="shared" si="76"/>
        <v>8</v>
      </c>
      <c r="AA568">
        <f t="shared" si="77"/>
        <v>8</v>
      </c>
      <c r="AB568">
        <f t="shared" si="78"/>
        <v>2024</v>
      </c>
      <c r="AC568" t="str">
        <f t="shared" si="79"/>
        <v>Unique</v>
      </c>
      <c r="AD568" t="str">
        <f t="shared" si="80"/>
        <v>Warning</v>
      </c>
    </row>
    <row r="569" spans="1:30" x14ac:dyDescent="0.3">
      <c r="A569" t="s">
        <v>1808</v>
      </c>
      <c r="B569" s="2">
        <v>45328</v>
      </c>
      <c r="C569" s="2">
        <v>45332</v>
      </c>
      <c r="D569" t="s">
        <v>1809</v>
      </c>
      <c r="E569" t="s">
        <v>62</v>
      </c>
      <c r="F569" t="s">
        <v>104</v>
      </c>
      <c r="G569" t="s">
        <v>34</v>
      </c>
      <c r="H569" t="s">
        <v>145</v>
      </c>
      <c r="I569" t="s">
        <v>146</v>
      </c>
      <c r="J569" t="s">
        <v>50</v>
      </c>
      <c r="K569" t="s">
        <v>66</v>
      </c>
      <c r="L569" t="s">
        <v>607</v>
      </c>
      <c r="M569" t="s">
        <v>53</v>
      </c>
      <c r="N569">
        <v>1</v>
      </c>
      <c r="O569">
        <v>1374.06</v>
      </c>
      <c r="P569" s="3">
        <v>0.05</v>
      </c>
      <c r="Q569">
        <v>1305.3599999999999</v>
      </c>
      <c r="R569">
        <v>731.89</v>
      </c>
      <c r="S569">
        <v>573.47</v>
      </c>
      <c r="T569" t="s">
        <v>41</v>
      </c>
      <c r="U569" t="s">
        <v>42</v>
      </c>
      <c r="V569" s="3">
        <f t="shared" si="72"/>
        <v>0.05</v>
      </c>
      <c r="W569">
        <f t="shared" si="73"/>
        <v>1305.357</v>
      </c>
      <c r="X569">
        <f t="shared" si="74"/>
        <v>573.46699999999998</v>
      </c>
      <c r="Y569" s="4">
        <f t="shared" si="75"/>
        <v>0.4393181328939133</v>
      </c>
      <c r="Z569">
        <f t="shared" si="76"/>
        <v>4</v>
      </c>
      <c r="AA569">
        <f t="shared" si="77"/>
        <v>2</v>
      </c>
      <c r="AB569">
        <f t="shared" si="78"/>
        <v>2024</v>
      </c>
      <c r="AC569" t="str">
        <f t="shared" si="79"/>
        <v>Unique</v>
      </c>
      <c r="AD569" t="str">
        <f t="shared" si="80"/>
        <v>Clean</v>
      </c>
    </row>
    <row r="570" spans="1:30" x14ac:dyDescent="0.3">
      <c r="A570" t="s">
        <v>1810</v>
      </c>
      <c r="B570" s="2">
        <v>45312</v>
      </c>
      <c r="C570" s="2">
        <v>45315</v>
      </c>
      <c r="D570" t="s">
        <v>1811</v>
      </c>
      <c r="E570" t="s">
        <v>274</v>
      </c>
      <c r="F570" t="s">
        <v>99</v>
      </c>
      <c r="G570" t="s">
        <v>34</v>
      </c>
      <c r="H570" t="s">
        <v>131</v>
      </c>
      <c r="I570" t="s">
        <v>132</v>
      </c>
      <c r="J570" t="s">
        <v>83</v>
      </c>
      <c r="K570" t="s">
        <v>284</v>
      </c>
      <c r="L570" t="s">
        <v>1812</v>
      </c>
      <c r="M570" t="s">
        <v>53</v>
      </c>
      <c r="N570">
        <v>1</v>
      </c>
      <c r="O570">
        <v>3806.3</v>
      </c>
      <c r="P570" s="3">
        <v>0.25</v>
      </c>
      <c r="Q570">
        <v>2854.73</v>
      </c>
      <c r="R570">
        <v>1968.12</v>
      </c>
      <c r="S570">
        <v>886.61</v>
      </c>
      <c r="T570" t="s">
        <v>41</v>
      </c>
      <c r="U570" t="s">
        <v>42</v>
      </c>
      <c r="V570" s="3">
        <f t="shared" si="72"/>
        <v>0.25</v>
      </c>
      <c r="W570">
        <f t="shared" si="73"/>
        <v>2854.7250000000004</v>
      </c>
      <c r="X570">
        <f t="shared" si="74"/>
        <v>886.60500000000047</v>
      </c>
      <c r="Y570" s="4">
        <f t="shared" si="75"/>
        <v>0.31057457373302172</v>
      </c>
      <c r="Z570">
        <f t="shared" si="76"/>
        <v>3</v>
      </c>
      <c r="AA570">
        <f t="shared" si="77"/>
        <v>1</v>
      </c>
      <c r="AB570">
        <f t="shared" si="78"/>
        <v>2024</v>
      </c>
      <c r="AC570" t="str">
        <f t="shared" si="79"/>
        <v>Unique</v>
      </c>
      <c r="AD570" t="str">
        <f t="shared" si="80"/>
        <v>Clean</v>
      </c>
    </row>
    <row r="571" spans="1:30" x14ac:dyDescent="0.3">
      <c r="A571" t="s">
        <v>1813</v>
      </c>
      <c r="B571" s="2">
        <v>45908</v>
      </c>
      <c r="C571" s="2">
        <v>45910</v>
      </c>
      <c r="D571" t="s">
        <v>1814</v>
      </c>
      <c r="E571" t="s">
        <v>127</v>
      </c>
      <c r="F571" t="s">
        <v>104</v>
      </c>
      <c r="G571" t="s">
        <v>72</v>
      </c>
      <c r="H571" t="s">
        <v>73</v>
      </c>
      <c r="I571" t="s">
        <v>74</v>
      </c>
      <c r="J571" t="s">
        <v>50</v>
      </c>
      <c r="K571" t="s">
        <v>66</v>
      </c>
      <c r="L571" t="s">
        <v>1815</v>
      </c>
      <c r="M571" t="s">
        <v>68</v>
      </c>
      <c r="N571">
        <v>6</v>
      </c>
      <c r="O571">
        <v>3251.17</v>
      </c>
      <c r="P571" s="3">
        <v>0.25</v>
      </c>
      <c r="Q571">
        <v>14630.26</v>
      </c>
      <c r="R571">
        <v>11906.36</v>
      </c>
      <c r="S571">
        <v>2723.9</v>
      </c>
      <c r="T571" t="s">
        <v>111</v>
      </c>
      <c r="U571" t="s">
        <v>112</v>
      </c>
      <c r="V571" s="3">
        <f t="shared" si="72"/>
        <v>0.25</v>
      </c>
      <c r="W571">
        <f t="shared" si="73"/>
        <v>14630.264999999999</v>
      </c>
      <c r="X571">
        <f t="shared" si="74"/>
        <v>2723.9049999999988</v>
      </c>
      <c r="Y571" s="4">
        <f t="shared" si="75"/>
        <v>0.18618288868998606</v>
      </c>
      <c r="Z571">
        <f t="shared" si="76"/>
        <v>2</v>
      </c>
      <c r="AA571">
        <f t="shared" si="77"/>
        <v>9</v>
      </c>
      <c r="AB571">
        <f t="shared" si="78"/>
        <v>2025</v>
      </c>
      <c r="AC571" t="str">
        <f t="shared" si="79"/>
        <v>Unique</v>
      </c>
      <c r="AD571" t="str">
        <f t="shared" si="80"/>
        <v>Clean</v>
      </c>
    </row>
    <row r="572" spans="1:30" x14ac:dyDescent="0.3">
      <c r="A572" t="s">
        <v>1816</v>
      </c>
      <c r="B572" s="2">
        <v>45887</v>
      </c>
      <c r="C572" s="2">
        <v>45891</v>
      </c>
      <c r="D572" t="s">
        <v>1817</v>
      </c>
      <c r="E572" t="s">
        <v>62</v>
      </c>
      <c r="F572" t="s">
        <v>33</v>
      </c>
      <c r="G572" t="s">
        <v>47</v>
      </c>
      <c r="H572" t="s">
        <v>238</v>
      </c>
      <c r="I572" t="s">
        <v>239</v>
      </c>
      <c r="J572" t="s">
        <v>50</v>
      </c>
      <c r="K572" t="s">
        <v>66</v>
      </c>
      <c r="L572" t="s">
        <v>1818</v>
      </c>
      <c r="M572" t="s">
        <v>40</v>
      </c>
      <c r="N572">
        <v>3</v>
      </c>
      <c r="O572">
        <v>3946.44</v>
      </c>
      <c r="P572" s="3">
        <v>0.25</v>
      </c>
      <c r="Q572">
        <v>8879.49</v>
      </c>
      <c r="R572">
        <v>6344.57</v>
      </c>
      <c r="S572">
        <v>2534.92</v>
      </c>
      <c r="T572" t="s">
        <v>164</v>
      </c>
      <c r="U572" t="s">
        <v>112</v>
      </c>
      <c r="V572" s="3">
        <f t="shared" si="72"/>
        <v>0.25</v>
      </c>
      <c r="W572">
        <f t="shared" si="73"/>
        <v>8879.49</v>
      </c>
      <c r="X572">
        <f t="shared" si="74"/>
        <v>2534.92</v>
      </c>
      <c r="Y572" s="4">
        <f t="shared" si="75"/>
        <v>0.28548035979543873</v>
      </c>
      <c r="Z572">
        <f t="shared" si="76"/>
        <v>4</v>
      </c>
      <c r="AA572">
        <f t="shared" si="77"/>
        <v>8</v>
      </c>
      <c r="AB572">
        <f t="shared" si="78"/>
        <v>2025</v>
      </c>
      <c r="AC572" t="str">
        <f t="shared" si="79"/>
        <v>Unique</v>
      </c>
      <c r="AD572" t="str">
        <f t="shared" si="80"/>
        <v>Warning</v>
      </c>
    </row>
    <row r="573" spans="1:30" x14ac:dyDescent="0.3">
      <c r="A573" t="s">
        <v>1819</v>
      </c>
      <c r="B573" s="2">
        <v>45698</v>
      </c>
      <c r="C573" s="2">
        <v>45702</v>
      </c>
      <c r="D573" t="s">
        <v>1820</v>
      </c>
      <c r="E573" t="s">
        <v>123</v>
      </c>
      <c r="F573" t="s">
        <v>46</v>
      </c>
      <c r="G573" t="s">
        <v>34</v>
      </c>
      <c r="H573" t="s">
        <v>145</v>
      </c>
      <c r="I573" t="s">
        <v>146</v>
      </c>
      <c r="J573" t="s">
        <v>83</v>
      </c>
      <c r="K573" t="s">
        <v>180</v>
      </c>
      <c r="L573" t="s">
        <v>1821</v>
      </c>
      <c r="M573" t="s">
        <v>214</v>
      </c>
      <c r="N573">
        <v>5</v>
      </c>
      <c r="O573">
        <v>4276.29</v>
      </c>
      <c r="P573" s="3">
        <v>0</v>
      </c>
      <c r="Q573">
        <v>21381.45</v>
      </c>
      <c r="R573">
        <v>13240.21</v>
      </c>
      <c r="S573">
        <v>8141.24</v>
      </c>
      <c r="T573" t="s">
        <v>164</v>
      </c>
      <c r="U573" t="s">
        <v>112</v>
      </c>
      <c r="V573" s="3">
        <f t="shared" si="72"/>
        <v>0</v>
      </c>
      <c r="W573">
        <f t="shared" si="73"/>
        <v>21381.45</v>
      </c>
      <c r="X573">
        <f t="shared" si="74"/>
        <v>8141.2400000000016</v>
      </c>
      <c r="Y573" s="4">
        <f t="shared" si="75"/>
        <v>0.38076182859441249</v>
      </c>
      <c r="Z573">
        <f t="shared" si="76"/>
        <v>4</v>
      </c>
      <c r="AA573">
        <f t="shared" si="77"/>
        <v>2</v>
      </c>
      <c r="AB573">
        <f t="shared" si="78"/>
        <v>2025</v>
      </c>
      <c r="AC573" t="str">
        <f t="shared" si="79"/>
        <v>Conflict - Review</v>
      </c>
      <c r="AD573" t="str">
        <f t="shared" si="80"/>
        <v>Invalid</v>
      </c>
    </row>
    <row r="574" spans="1:30" x14ac:dyDescent="0.3">
      <c r="A574" t="s">
        <v>1822</v>
      </c>
      <c r="B574" s="2">
        <v>45293</v>
      </c>
      <c r="C574" s="2">
        <v>45300</v>
      </c>
      <c r="D574" t="s">
        <v>1823</v>
      </c>
      <c r="E574" t="s">
        <v>171</v>
      </c>
      <c r="F574" t="s">
        <v>99</v>
      </c>
      <c r="G574" t="s">
        <v>34</v>
      </c>
      <c r="H574" t="s">
        <v>360</v>
      </c>
      <c r="I574" t="s">
        <v>361</v>
      </c>
      <c r="J574" t="s">
        <v>83</v>
      </c>
      <c r="K574" t="s">
        <v>180</v>
      </c>
      <c r="L574" t="s">
        <v>1824</v>
      </c>
      <c r="M574" t="s">
        <v>68</v>
      </c>
      <c r="N574">
        <v>3</v>
      </c>
      <c r="O574">
        <v>739.56</v>
      </c>
      <c r="P574" s="3">
        <v>0.2</v>
      </c>
      <c r="Q574">
        <v>1774.94</v>
      </c>
      <c r="R574">
        <v>1007.4</v>
      </c>
      <c r="S574">
        <v>767.54</v>
      </c>
      <c r="T574" t="s">
        <v>41</v>
      </c>
      <c r="U574" t="s">
        <v>42</v>
      </c>
      <c r="V574" s="3">
        <f t="shared" si="72"/>
        <v>0.2</v>
      </c>
      <c r="W574">
        <f t="shared" si="73"/>
        <v>1774.944</v>
      </c>
      <c r="X574">
        <f t="shared" si="74"/>
        <v>767.54399999999998</v>
      </c>
      <c r="Y574" s="4">
        <f t="shared" si="75"/>
        <v>0.43243279787982042</v>
      </c>
      <c r="Z574">
        <f t="shared" si="76"/>
        <v>7</v>
      </c>
      <c r="AA574">
        <f t="shared" si="77"/>
        <v>1</v>
      </c>
      <c r="AB574">
        <f t="shared" si="78"/>
        <v>2024</v>
      </c>
      <c r="AC574" t="str">
        <f t="shared" si="79"/>
        <v>Unique</v>
      </c>
      <c r="AD574" t="str">
        <f t="shared" si="80"/>
        <v>Clean</v>
      </c>
    </row>
    <row r="575" spans="1:30" x14ac:dyDescent="0.3">
      <c r="A575" t="s">
        <v>1825</v>
      </c>
      <c r="B575" s="2">
        <v>45922</v>
      </c>
      <c r="C575" s="2">
        <v>45926</v>
      </c>
      <c r="D575" t="s">
        <v>1826</v>
      </c>
      <c r="E575" t="s">
        <v>56</v>
      </c>
      <c r="F575" t="s">
        <v>33</v>
      </c>
      <c r="G575" t="s">
        <v>63</v>
      </c>
      <c r="H575" t="s">
        <v>93</v>
      </c>
      <c r="I575" t="s">
        <v>94</v>
      </c>
      <c r="J575" t="s">
        <v>83</v>
      </c>
      <c r="K575" t="s">
        <v>180</v>
      </c>
      <c r="L575" t="s">
        <v>1827</v>
      </c>
      <c r="M575" t="s">
        <v>68</v>
      </c>
      <c r="N575">
        <v>1</v>
      </c>
      <c r="O575">
        <v>573.65</v>
      </c>
      <c r="P575" s="3">
        <v>0</v>
      </c>
      <c r="Q575">
        <v>573.65</v>
      </c>
      <c r="R575">
        <v>322.67</v>
      </c>
      <c r="S575">
        <v>250.98</v>
      </c>
      <c r="T575" t="s">
        <v>41</v>
      </c>
      <c r="U575" t="s">
        <v>42</v>
      </c>
      <c r="V575" s="3">
        <f t="shared" si="72"/>
        <v>0</v>
      </c>
      <c r="W575">
        <f t="shared" si="73"/>
        <v>573.65</v>
      </c>
      <c r="X575">
        <f t="shared" si="74"/>
        <v>250.97999999999996</v>
      </c>
      <c r="Y575" s="4">
        <f t="shared" si="75"/>
        <v>0.43751416368866031</v>
      </c>
      <c r="Z575">
        <f t="shared" si="76"/>
        <v>4</v>
      </c>
      <c r="AA575">
        <f t="shared" si="77"/>
        <v>9</v>
      </c>
      <c r="AB575">
        <f t="shared" si="78"/>
        <v>2025</v>
      </c>
      <c r="AC575" t="str">
        <f t="shared" si="79"/>
        <v>Unique</v>
      </c>
      <c r="AD575" t="str">
        <f t="shared" si="80"/>
        <v>Clean</v>
      </c>
    </row>
    <row r="576" spans="1:30" x14ac:dyDescent="0.3">
      <c r="A576" t="s">
        <v>1828</v>
      </c>
      <c r="B576" s="2">
        <v>45342</v>
      </c>
      <c r="C576" s="2">
        <v>45347</v>
      </c>
      <c r="D576" t="s">
        <v>812</v>
      </c>
      <c r="E576" t="s">
        <v>171</v>
      </c>
      <c r="F576" t="s">
        <v>104</v>
      </c>
      <c r="G576" t="s">
        <v>34</v>
      </c>
      <c r="H576" t="s">
        <v>131</v>
      </c>
      <c r="I576" t="s">
        <v>132</v>
      </c>
      <c r="J576" t="s">
        <v>83</v>
      </c>
      <c r="K576" t="s">
        <v>284</v>
      </c>
      <c r="L576" t="s">
        <v>1829</v>
      </c>
      <c r="M576" t="s">
        <v>68</v>
      </c>
      <c r="N576">
        <v>4</v>
      </c>
      <c r="O576">
        <v>1355.8</v>
      </c>
      <c r="P576" s="3">
        <v>0</v>
      </c>
      <c r="Q576">
        <v>5423.2</v>
      </c>
      <c r="R576">
        <v>4072.44</v>
      </c>
      <c r="S576">
        <v>1350.76</v>
      </c>
      <c r="T576" t="s">
        <v>41</v>
      </c>
      <c r="U576" t="s">
        <v>42</v>
      </c>
      <c r="V576" s="3">
        <f t="shared" si="72"/>
        <v>0</v>
      </c>
      <c r="W576">
        <f t="shared" si="73"/>
        <v>5423.2</v>
      </c>
      <c r="X576">
        <f t="shared" si="74"/>
        <v>1350.7599999999998</v>
      </c>
      <c r="Y576" s="4">
        <f t="shared" si="75"/>
        <v>0.24907065938929043</v>
      </c>
      <c r="Z576">
        <f t="shared" si="76"/>
        <v>5</v>
      </c>
      <c r="AA576">
        <f t="shared" si="77"/>
        <v>2</v>
      </c>
      <c r="AB576">
        <f t="shared" si="78"/>
        <v>2024</v>
      </c>
      <c r="AC576" t="str">
        <f t="shared" si="79"/>
        <v>Unique</v>
      </c>
      <c r="AD576" t="str">
        <f t="shared" si="80"/>
        <v>Clean</v>
      </c>
    </row>
    <row r="577" spans="1:30" x14ac:dyDescent="0.3">
      <c r="A577" t="s">
        <v>1830</v>
      </c>
      <c r="B577" s="2">
        <v>45727</v>
      </c>
      <c r="C577" s="2">
        <v>45730</v>
      </c>
      <c r="D577" t="s">
        <v>1831</v>
      </c>
      <c r="E577" t="s">
        <v>141</v>
      </c>
      <c r="F577" t="s">
        <v>104</v>
      </c>
      <c r="G577" t="s">
        <v>63</v>
      </c>
      <c r="H577" t="s">
        <v>194</v>
      </c>
      <c r="I577" t="s">
        <v>195</v>
      </c>
      <c r="J577" t="s">
        <v>50</v>
      </c>
      <c r="K577" t="s">
        <v>66</v>
      </c>
      <c r="L577" t="s">
        <v>1832</v>
      </c>
      <c r="M577" t="s">
        <v>53</v>
      </c>
      <c r="N577">
        <v>4</v>
      </c>
      <c r="O577">
        <v>1244.82</v>
      </c>
      <c r="P577" s="3">
        <v>0.2</v>
      </c>
      <c r="Q577">
        <v>3983.42</v>
      </c>
      <c r="R577">
        <v>3174.91</v>
      </c>
      <c r="S577">
        <v>808.51</v>
      </c>
      <c r="T577" t="s">
        <v>164</v>
      </c>
      <c r="U577" t="s">
        <v>112</v>
      </c>
      <c r="V577" s="3">
        <f t="shared" si="72"/>
        <v>0.2</v>
      </c>
      <c r="W577">
        <f t="shared" si="73"/>
        <v>3983.424</v>
      </c>
      <c r="X577">
        <f t="shared" si="74"/>
        <v>808.51400000000012</v>
      </c>
      <c r="Y577" s="4">
        <f t="shared" si="75"/>
        <v>0.2029696060474607</v>
      </c>
      <c r="Z577">
        <f t="shared" si="76"/>
        <v>3</v>
      </c>
      <c r="AA577">
        <f t="shared" si="77"/>
        <v>3</v>
      </c>
      <c r="AB577">
        <f t="shared" si="78"/>
        <v>2025</v>
      </c>
      <c r="AC577" t="str">
        <f t="shared" si="79"/>
        <v>Unique</v>
      </c>
      <c r="AD577" t="str">
        <f t="shared" si="80"/>
        <v>Warning</v>
      </c>
    </row>
    <row r="578" spans="1:30" x14ac:dyDescent="0.3">
      <c r="A578" t="s">
        <v>1833</v>
      </c>
      <c r="B578" s="2">
        <v>45339</v>
      </c>
      <c r="C578" s="2">
        <v>45345</v>
      </c>
      <c r="D578" t="s">
        <v>1834</v>
      </c>
      <c r="E578" t="s">
        <v>150</v>
      </c>
      <c r="F578" t="s">
        <v>104</v>
      </c>
      <c r="G578" t="s">
        <v>214</v>
      </c>
      <c r="H578" t="s">
        <v>154</v>
      </c>
      <c r="I578" t="s">
        <v>155</v>
      </c>
      <c r="J578" t="s">
        <v>37</v>
      </c>
      <c r="K578" t="s">
        <v>162</v>
      </c>
      <c r="L578" t="s">
        <v>1835</v>
      </c>
      <c r="M578" t="s">
        <v>68</v>
      </c>
      <c r="N578">
        <v>9</v>
      </c>
      <c r="O578">
        <v>2614.46</v>
      </c>
      <c r="P578" s="3">
        <v>0</v>
      </c>
      <c r="Q578">
        <v>23530.14</v>
      </c>
      <c r="R578">
        <v>19537.79</v>
      </c>
      <c r="S578">
        <v>3992.35</v>
      </c>
      <c r="T578" t="s">
        <v>111</v>
      </c>
      <c r="U578" t="s">
        <v>112</v>
      </c>
      <c r="V578" s="3">
        <f t="shared" ref="V578:V641" si="81">IF(P578="",0,IF(ISNUMBER(P578),ABS(P578),IF(RIGHT(P578,1)="%",VALUE(LEFT(P578,LEN(P578)-1))/100,P578)))</f>
        <v>0</v>
      </c>
      <c r="W578">
        <f t="shared" ref="W578:W641" si="82">N578*O578*(1-V578)</f>
        <v>23530.14</v>
      </c>
      <c r="X578">
        <f t="shared" ref="X578:X641" si="83">W578-R578</f>
        <v>3992.3499999999985</v>
      </c>
      <c r="Y578" s="4">
        <f t="shared" ref="Y578:Y641" si="84">IF(W578=0,0,X578/W578)</f>
        <v>0.16966962372514566</v>
      </c>
      <c r="Z578">
        <f t="shared" ref="Z578:Z641" si="85">C578-B578</f>
        <v>6</v>
      </c>
      <c r="AA578">
        <f t="shared" ref="AA578:AA641" si="86">MONTH(B578)</f>
        <v>2</v>
      </c>
      <c r="AB578">
        <f t="shared" ref="AB578:AB641" si="87">YEAR(B578)</f>
        <v>2024</v>
      </c>
      <c r="AC578" t="str">
        <f t="shared" ref="AC578:AC641" si="88">IF(COUNTIF($A$2:$A$913,A578)&gt;1,"Conflict - Review","Unique")</f>
        <v>Unique</v>
      </c>
      <c r="AD578" t="str">
        <f t="shared" ref="AD578:AD641" si="89">IF(OR(C578&lt;B578,AND(ISNUMBER(P578),P578&lt;0),V578&gt;0.65,AC578="Conflict - Review"),"Invalid",IF(OR(G578="Unknown",M578="Unknown",T578="Failed",U578="Cancelled"),"Warning","Clean"))</f>
        <v>Warning</v>
      </c>
    </row>
    <row r="579" spans="1:30" x14ac:dyDescent="0.3">
      <c r="A579" t="s">
        <v>1836</v>
      </c>
      <c r="B579" s="2">
        <v>45897</v>
      </c>
      <c r="C579" s="2">
        <v>45903</v>
      </c>
      <c r="D579" t="s">
        <v>1837</v>
      </c>
      <c r="E579" t="s">
        <v>123</v>
      </c>
      <c r="F579" t="s">
        <v>99</v>
      </c>
      <c r="G579" t="s">
        <v>72</v>
      </c>
      <c r="H579" t="s">
        <v>81</v>
      </c>
      <c r="I579" t="s">
        <v>82</v>
      </c>
      <c r="J579" t="s">
        <v>50</v>
      </c>
      <c r="K579" t="s">
        <v>66</v>
      </c>
      <c r="L579" t="s">
        <v>1838</v>
      </c>
      <c r="M579" t="s">
        <v>68</v>
      </c>
      <c r="N579">
        <v>7</v>
      </c>
      <c r="O579">
        <v>268.45</v>
      </c>
      <c r="P579" s="3">
        <v>0</v>
      </c>
      <c r="Q579">
        <v>1879.15</v>
      </c>
      <c r="R579">
        <v>1134.9000000000001</v>
      </c>
      <c r="S579">
        <v>744.25</v>
      </c>
      <c r="T579" t="s">
        <v>41</v>
      </c>
      <c r="U579" t="s">
        <v>42</v>
      </c>
      <c r="V579" s="3">
        <f t="shared" si="81"/>
        <v>0</v>
      </c>
      <c r="W579">
        <f t="shared" si="82"/>
        <v>1879.1499999999999</v>
      </c>
      <c r="X579">
        <f t="shared" si="83"/>
        <v>744.24999999999977</v>
      </c>
      <c r="Y579" s="4">
        <f t="shared" si="84"/>
        <v>0.39605672777585599</v>
      </c>
      <c r="Z579">
        <f t="shared" si="85"/>
        <v>6</v>
      </c>
      <c r="AA579">
        <f t="shared" si="86"/>
        <v>8</v>
      </c>
      <c r="AB579">
        <f t="shared" si="87"/>
        <v>2025</v>
      </c>
      <c r="AC579" t="str">
        <f t="shared" si="88"/>
        <v>Unique</v>
      </c>
      <c r="AD579" t="str">
        <f t="shared" si="89"/>
        <v>Clean</v>
      </c>
    </row>
    <row r="580" spans="1:30" x14ac:dyDescent="0.3">
      <c r="A580" t="s">
        <v>1839</v>
      </c>
      <c r="B580" s="2">
        <v>45343</v>
      </c>
      <c r="C580" s="2">
        <v>45345</v>
      </c>
      <c r="D580" t="s">
        <v>305</v>
      </c>
      <c r="E580" t="s">
        <v>88</v>
      </c>
      <c r="F580" t="s">
        <v>46</v>
      </c>
      <c r="G580" t="s">
        <v>72</v>
      </c>
      <c r="H580" t="s">
        <v>189</v>
      </c>
      <c r="I580" t="s">
        <v>190</v>
      </c>
      <c r="J580" t="s">
        <v>83</v>
      </c>
      <c r="K580" t="s">
        <v>89</v>
      </c>
      <c r="L580" t="s">
        <v>1840</v>
      </c>
      <c r="M580" t="s">
        <v>59</v>
      </c>
      <c r="N580">
        <v>6</v>
      </c>
      <c r="O580">
        <v>2633.65</v>
      </c>
      <c r="P580" s="3">
        <v>0.05</v>
      </c>
      <c r="Q580">
        <v>15011.81</v>
      </c>
      <c r="R580">
        <v>9660.36</v>
      </c>
      <c r="S580">
        <v>5351.45</v>
      </c>
      <c r="T580" t="s">
        <v>41</v>
      </c>
      <c r="U580" t="s">
        <v>42</v>
      </c>
      <c r="V580" s="3">
        <f t="shared" si="81"/>
        <v>0.05</v>
      </c>
      <c r="W580">
        <f t="shared" si="82"/>
        <v>15011.805</v>
      </c>
      <c r="X580">
        <f t="shared" si="83"/>
        <v>5351.4449999999997</v>
      </c>
      <c r="Y580" s="4">
        <f t="shared" si="84"/>
        <v>0.35648244831317749</v>
      </c>
      <c r="Z580">
        <f t="shared" si="85"/>
        <v>2</v>
      </c>
      <c r="AA580">
        <f t="shared" si="86"/>
        <v>2</v>
      </c>
      <c r="AB580">
        <f t="shared" si="87"/>
        <v>2024</v>
      </c>
      <c r="AC580" t="str">
        <f t="shared" si="88"/>
        <v>Unique</v>
      </c>
      <c r="AD580" t="str">
        <f t="shared" si="89"/>
        <v>Clean</v>
      </c>
    </row>
    <row r="581" spans="1:30" x14ac:dyDescent="0.3">
      <c r="A581" t="s">
        <v>1841</v>
      </c>
      <c r="B581" s="2">
        <v>45462</v>
      </c>
      <c r="C581" s="2">
        <v>45467</v>
      </c>
      <c r="D581" t="s">
        <v>1842</v>
      </c>
      <c r="E581" t="s">
        <v>137</v>
      </c>
      <c r="F581" t="s">
        <v>46</v>
      </c>
      <c r="G581" t="s">
        <v>63</v>
      </c>
      <c r="H581" t="s">
        <v>257</v>
      </c>
      <c r="I581" t="s">
        <v>258</v>
      </c>
      <c r="J581" t="s">
        <v>37</v>
      </c>
      <c r="K581" t="s">
        <v>133</v>
      </c>
      <c r="L581" t="s">
        <v>1843</v>
      </c>
      <c r="M581" t="s">
        <v>53</v>
      </c>
      <c r="N581">
        <v>1</v>
      </c>
      <c r="O581">
        <v>3202.41</v>
      </c>
      <c r="P581" s="3">
        <v>0</v>
      </c>
      <c r="Q581">
        <v>3202.41</v>
      </c>
      <c r="R581">
        <v>2608.44</v>
      </c>
      <c r="S581">
        <v>593.97</v>
      </c>
      <c r="T581" t="s">
        <v>41</v>
      </c>
      <c r="U581" t="s">
        <v>42</v>
      </c>
      <c r="V581" s="3">
        <f t="shared" si="81"/>
        <v>0</v>
      </c>
      <c r="W581">
        <f t="shared" si="82"/>
        <v>3202.41</v>
      </c>
      <c r="X581">
        <f t="shared" si="83"/>
        <v>593.9699999999998</v>
      </c>
      <c r="Y581" s="4">
        <f t="shared" si="84"/>
        <v>0.18547593843386695</v>
      </c>
      <c r="Z581">
        <f t="shared" si="85"/>
        <v>5</v>
      </c>
      <c r="AA581">
        <f t="shared" si="86"/>
        <v>6</v>
      </c>
      <c r="AB581">
        <f t="shared" si="87"/>
        <v>2024</v>
      </c>
      <c r="AC581" t="str">
        <f t="shared" si="88"/>
        <v>Unique</v>
      </c>
      <c r="AD581" t="str">
        <f t="shared" si="89"/>
        <v>Clean</v>
      </c>
    </row>
    <row r="582" spans="1:30" x14ac:dyDescent="0.3">
      <c r="A582" t="s">
        <v>1844</v>
      </c>
      <c r="B582" s="2">
        <v>45722</v>
      </c>
      <c r="C582" s="2">
        <v>45729</v>
      </c>
      <c r="D582" t="s">
        <v>1845</v>
      </c>
      <c r="E582" t="s">
        <v>274</v>
      </c>
      <c r="F582" t="s">
        <v>33</v>
      </c>
      <c r="G582" t="s">
        <v>63</v>
      </c>
      <c r="H582" t="s">
        <v>194</v>
      </c>
      <c r="I582" t="s">
        <v>195</v>
      </c>
      <c r="J582" t="s">
        <v>50</v>
      </c>
      <c r="K582" t="s">
        <v>75</v>
      </c>
      <c r="L582" t="s">
        <v>1846</v>
      </c>
      <c r="M582" t="s">
        <v>68</v>
      </c>
      <c r="N582">
        <v>3</v>
      </c>
      <c r="O582">
        <v>163.72</v>
      </c>
      <c r="P582" s="3">
        <v>0.15</v>
      </c>
      <c r="Q582">
        <v>417.49</v>
      </c>
      <c r="R582">
        <v>261.67</v>
      </c>
      <c r="S582">
        <v>155.82</v>
      </c>
      <c r="T582" t="s">
        <v>164</v>
      </c>
      <c r="U582" t="s">
        <v>112</v>
      </c>
      <c r="V582" s="3">
        <f t="shared" si="81"/>
        <v>0.15</v>
      </c>
      <c r="W582">
        <f t="shared" si="82"/>
        <v>417.48599999999999</v>
      </c>
      <c r="X582">
        <f t="shared" si="83"/>
        <v>155.81599999999997</v>
      </c>
      <c r="Y582" s="4">
        <f t="shared" si="84"/>
        <v>0.37322449136018926</v>
      </c>
      <c r="Z582">
        <f t="shared" si="85"/>
        <v>7</v>
      </c>
      <c r="AA582">
        <f t="shared" si="86"/>
        <v>3</v>
      </c>
      <c r="AB582">
        <f t="shared" si="87"/>
        <v>2025</v>
      </c>
      <c r="AC582" t="str">
        <f t="shared" si="88"/>
        <v>Unique</v>
      </c>
      <c r="AD582" t="str">
        <f t="shared" si="89"/>
        <v>Warning</v>
      </c>
    </row>
    <row r="583" spans="1:30" x14ac:dyDescent="0.3">
      <c r="A583" t="s">
        <v>1847</v>
      </c>
      <c r="B583" s="2">
        <v>45878</v>
      </c>
      <c r="C583" s="2">
        <v>45879</v>
      </c>
      <c r="D583" t="s">
        <v>1848</v>
      </c>
      <c r="E583" t="s">
        <v>88</v>
      </c>
      <c r="F583" t="s">
        <v>33</v>
      </c>
      <c r="G583" t="s">
        <v>34</v>
      </c>
      <c r="H583" t="s">
        <v>360</v>
      </c>
      <c r="I583" t="s">
        <v>361</v>
      </c>
      <c r="J583" t="s">
        <v>37</v>
      </c>
      <c r="K583" t="s">
        <v>57</v>
      </c>
      <c r="L583" t="s">
        <v>1849</v>
      </c>
      <c r="M583" t="s">
        <v>40</v>
      </c>
      <c r="N583">
        <v>4</v>
      </c>
      <c r="O583">
        <v>4080.95</v>
      </c>
      <c r="P583" s="3">
        <v>0</v>
      </c>
      <c r="Q583">
        <v>16323.8</v>
      </c>
      <c r="R583">
        <v>9965.7900000000009</v>
      </c>
      <c r="S583">
        <v>6358.01</v>
      </c>
      <c r="T583" t="s">
        <v>111</v>
      </c>
      <c r="U583" t="s">
        <v>112</v>
      </c>
      <c r="V583" s="3">
        <f t="shared" si="81"/>
        <v>0</v>
      </c>
      <c r="W583">
        <f t="shared" si="82"/>
        <v>16323.8</v>
      </c>
      <c r="X583">
        <f t="shared" si="83"/>
        <v>6358.0099999999984</v>
      </c>
      <c r="Y583" s="4">
        <f t="shared" si="84"/>
        <v>0.38949325524693995</v>
      </c>
      <c r="Z583">
        <f t="shared" si="85"/>
        <v>1</v>
      </c>
      <c r="AA583">
        <f t="shared" si="86"/>
        <v>8</v>
      </c>
      <c r="AB583">
        <f t="shared" si="87"/>
        <v>2025</v>
      </c>
      <c r="AC583" t="str">
        <f t="shared" si="88"/>
        <v>Unique</v>
      </c>
      <c r="AD583" t="str">
        <f t="shared" si="89"/>
        <v>Clean</v>
      </c>
    </row>
    <row r="584" spans="1:30" x14ac:dyDescent="0.3">
      <c r="A584" t="s">
        <v>1850</v>
      </c>
      <c r="B584" s="2">
        <v>45580</v>
      </c>
      <c r="C584" s="2">
        <v>45585</v>
      </c>
      <c r="D584" t="s">
        <v>1851</v>
      </c>
      <c r="E584" t="s">
        <v>71</v>
      </c>
      <c r="F584" t="s">
        <v>33</v>
      </c>
      <c r="G584" t="s">
        <v>47</v>
      </c>
      <c r="H584" t="s">
        <v>48</v>
      </c>
      <c r="I584" t="s">
        <v>49</v>
      </c>
      <c r="J584" t="s">
        <v>37</v>
      </c>
      <c r="K584" t="s">
        <v>57</v>
      </c>
      <c r="L584" t="s">
        <v>1852</v>
      </c>
      <c r="M584" t="s">
        <v>59</v>
      </c>
      <c r="N584">
        <v>5</v>
      </c>
      <c r="O584">
        <v>671.24</v>
      </c>
      <c r="P584" s="3">
        <v>0</v>
      </c>
      <c r="Q584">
        <v>3356.2</v>
      </c>
      <c r="R584">
        <v>2205.7199999999998</v>
      </c>
      <c r="S584">
        <v>1150.48</v>
      </c>
      <c r="T584" t="s">
        <v>120</v>
      </c>
      <c r="U584" t="s">
        <v>112</v>
      </c>
      <c r="V584" s="3">
        <f t="shared" si="81"/>
        <v>0</v>
      </c>
      <c r="W584">
        <f t="shared" si="82"/>
        <v>3356.2</v>
      </c>
      <c r="X584">
        <f t="shared" si="83"/>
        <v>1150.48</v>
      </c>
      <c r="Y584" s="4">
        <f t="shared" si="84"/>
        <v>0.34279244383528995</v>
      </c>
      <c r="Z584">
        <f t="shared" si="85"/>
        <v>5</v>
      </c>
      <c r="AA584">
        <f t="shared" si="86"/>
        <v>10</v>
      </c>
      <c r="AB584">
        <f t="shared" si="87"/>
        <v>2024</v>
      </c>
      <c r="AC584" t="str">
        <f t="shared" si="88"/>
        <v>Unique</v>
      </c>
      <c r="AD584" t="str">
        <f t="shared" si="89"/>
        <v>Clean</v>
      </c>
    </row>
    <row r="585" spans="1:30" x14ac:dyDescent="0.3">
      <c r="A585" t="s">
        <v>1853</v>
      </c>
      <c r="B585" s="2">
        <v>45350</v>
      </c>
      <c r="C585" s="2">
        <v>45350</v>
      </c>
      <c r="D585" t="s">
        <v>1854</v>
      </c>
      <c r="E585" t="s">
        <v>150</v>
      </c>
      <c r="F585" t="s">
        <v>46</v>
      </c>
      <c r="G585" t="s">
        <v>47</v>
      </c>
      <c r="H585" t="s">
        <v>108</v>
      </c>
      <c r="I585" t="s">
        <v>109</v>
      </c>
      <c r="J585" t="s">
        <v>37</v>
      </c>
      <c r="K585" t="s">
        <v>133</v>
      </c>
      <c r="L585" t="s">
        <v>1855</v>
      </c>
      <c r="M585" t="s">
        <v>59</v>
      </c>
      <c r="N585">
        <v>1</v>
      </c>
      <c r="O585">
        <v>2626.84</v>
      </c>
      <c r="P585" s="3">
        <v>0.2</v>
      </c>
      <c r="Q585">
        <v>2101.4699999999998</v>
      </c>
      <c r="R585">
        <v>1217.83</v>
      </c>
      <c r="S585">
        <v>883.64</v>
      </c>
      <c r="T585" t="s">
        <v>164</v>
      </c>
      <c r="U585" t="s">
        <v>112</v>
      </c>
      <c r="V585" s="3">
        <f t="shared" si="81"/>
        <v>0.2</v>
      </c>
      <c r="W585">
        <f t="shared" si="82"/>
        <v>2101.4720000000002</v>
      </c>
      <c r="X585">
        <f t="shared" si="83"/>
        <v>883.64200000000028</v>
      </c>
      <c r="Y585" s="4">
        <f t="shared" si="84"/>
        <v>0.42048716328364127</v>
      </c>
      <c r="Z585">
        <f t="shared" si="85"/>
        <v>0</v>
      </c>
      <c r="AA585">
        <f t="shared" si="86"/>
        <v>2</v>
      </c>
      <c r="AB585">
        <f t="shared" si="87"/>
        <v>2024</v>
      </c>
      <c r="AC585" t="str">
        <f t="shared" si="88"/>
        <v>Unique</v>
      </c>
      <c r="AD585" t="str">
        <f t="shared" si="89"/>
        <v>Warning</v>
      </c>
    </row>
    <row r="586" spans="1:30" x14ac:dyDescent="0.3">
      <c r="A586" t="s">
        <v>1856</v>
      </c>
      <c r="B586" s="2">
        <v>45508</v>
      </c>
      <c r="C586" s="2">
        <v>45514</v>
      </c>
      <c r="D586" t="s">
        <v>1857</v>
      </c>
      <c r="E586" t="s">
        <v>80</v>
      </c>
      <c r="F586" t="s">
        <v>33</v>
      </c>
      <c r="G586" t="s">
        <v>47</v>
      </c>
      <c r="H586" t="s">
        <v>154</v>
      </c>
      <c r="I586" t="s">
        <v>155</v>
      </c>
      <c r="J586" t="s">
        <v>37</v>
      </c>
      <c r="K586" t="s">
        <v>57</v>
      </c>
      <c r="L586" t="s">
        <v>1858</v>
      </c>
      <c r="M586" t="s">
        <v>53</v>
      </c>
      <c r="N586">
        <v>1</v>
      </c>
      <c r="O586">
        <v>984.93</v>
      </c>
      <c r="P586" s="3">
        <v>0.15</v>
      </c>
      <c r="Q586">
        <v>837.19</v>
      </c>
      <c r="R586">
        <v>583.79</v>
      </c>
      <c r="S586">
        <v>253.4</v>
      </c>
      <c r="T586" t="s">
        <v>120</v>
      </c>
      <c r="U586" t="s">
        <v>112</v>
      </c>
      <c r="V586" s="3">
        <f t="shared" si="81"/>
        <v>0.15</v>
      </c>
      <c r="W586">
        <f t="shared" si="82"/>
        <v>837.19049999999993</v>
      </c>
      <c r="X586">
        <f t="shared" si="83"/>
        <v>253.40049999999997</v>
      </c>
      <c r="Y586" s="4">
        <f t="shared" si="84"/>
        <v>0.30267961712417901</v>
      </c>
      <c r="Z586">
        <f t="shared" si="85"/>
        <v>6</v>
      </c>
      <c r="AA586">
        <f t="shared" si="86"/>
        <v>8</v>
      </c>
      <c r="AB586">
        <f t="shared" si="87"/>
        <v>2024</v>
      </c>
      <c r="AC586" t="str">
        <f t="shared" si="88"/>
        <v>Unique</v>
      </c>
      <c r="AD586" t="str">
        <f t="shared" si="89"/>
        <v>Clean</v>
      </c>
    </row>
    <row r="587" spans="1:30" x14ac:dyDescent="0.3">
      <c r="A587" t="s">
        <v>1859</v>
      </c>
      <c r="B587" s="2">
        <v>45830</v>
      </c>
      <c r="C587" s="2">
        <v>45833</v>
      </c>
      <c r="D587" t="s">
        <v>1860</v>
      </c>
      <c r="E587" t="s">
        <v>171</v>
      </c>
      <c r="F587" t="s">
        <v>46</v>
      </c>
      <c r="G587" t="s">
        <v>72</v>
      </c>
      <c r="H587" t="s">
        <v>73</v>
      </c>
      <c r="I587" t="s">
        <v>74</v>
      </c>
      <c r="J587" t="s">
        <v>83</v>
      </c>
      <c r="K587" t="s">
        <v>180</v>
      </c>
      <c r="L587" t="s">
        <v>1861</v>
      </c>
      <c r="M587" t="s">
        <v>59</v>
      </c>
      <c r="N587">
        <v>8</v>
      </c>
      <c r="O587">
        <v>3453.66</v>
      </c>
      <c r="P587" s="3">
        <v>0</v>
      </c>
      <c r="Q587">
        <v>27629.279999999999</v>
      </c>
      <c r="R587">
        <v>22026.48</v>
      </c>
      <c r="S587">
        <v>5602.8</v>
      </c>
      <c r="T587" t="s">
        <v>41</v>
      </c>
      <c r="U587" t="s">
        <v>42</v>
      </c>
      <c r="V587" s="3">
        <f t="shared" si="81"/>
        <v>0</v>
      </c>
      <c r="W587">
        <f t="shared" si="82"/>
        <v>27629.279999999999</v>
      </c>
      <c r="X587">
        <f t="shared" si="83"/>
        <v>5602.7999999999993</v>
      </c>
      <c r="Y587" s="4">
        <f t="shared" si="84"/>
        <v>0.20278487170132553</v>
      </c>
      <c r="Z587">
        <f t="shared" si="85"/>
        <v>3</v>
      </c>
      <c r="AA587">
        <f t="shared" si="86"/>
        <v>6</v>
      </c>
      <c r="AB587">
        <f t="shared" si="87"/>
        <v>2025</v>
      </c>
      <c r="AC587" t="str">
        <f t="shared" si="88"/>
        <v>Unique</v>
      </c>
      <c r="AD587" t="str">
        <f t="shared" si="89"/>
        <v>Clean</v>
      </c>
    </row>
    <row r="588" spans="1:30" x14ac:dyDescent="0.3">
      <c r="A588" t="s">
        <v>1862</v>
      </c>
      <c r="B588" s="2">
        <v>45759</v>
      </c>
      <c r="C588" s="2">
        <v>45759</v>
      </c>
      <c r="D588" t="s">
        <v>1863</v>
      </c>
      <c r="E588" t="s">
        <v>45</v>
      </c>
      <c r="F588" t="s">
        <v>104</v>
      </c>
      <c r="G588" t="s">
        <v>34</v>
      </c>
      <c r="H588" t="s">
        <v>131</v>
      </c>
      <c r="I588" t="s">
        <v>132</v>
      </c>
      <c r="J588" t="s">
        <v>37</v>
      </c>
      <c r="K588" t="s">
        <v>162</v>
      </c>
      <c r="L588" t="s">
        <v>1864</v>
      </c>
      <c r="M588" t="s">
        <v>40</v>
      </c>
      <c r="N588">
        <v>7</v>
      </c>
      <c r="O588">
        <v>1334.2</v>
      </c>
      <c r="P588" s="3">
        <v>0.2</v>
      </c>
      <c r="Q588">
        <v>7471.52</v>
      </c>
      <c r="R588">
        <v>6184.32</v>
      </c>
      <c r="S588">
        <v>1287.2</v>
      </c>
      <c r="T588" t="s">
        <v>41</v>
      </c>
      <c r="U588" t="s">
        <v>42</v>
      </c>
      <c r="V588" s="3">
        <f t="shared" si="81"/>
        <v>0.2</v>
      </c>
      <c r="W588">
        <f t="shared" si="82"/>
        <v>7471.52</v>
      </c>
      <c r="X588">
        <f t="shared" si="83"/>
        <v>1287.2000000000007</v>
      </c>
      <c r="Y588" s="4">
        <f t="shared" si="84"/>
        <v>0.17228087457438387</v>
      </c>
      <c r="Z588">
        <f t="shared" si="85"/>
        <v>0</v>
      </c>
      <c r="AA588">
        <f t="shared" si="86"/>
        <v>4</v>
      </c>
      <c r="AB588">
        <f t="shared" si="87"/>
        <v>2025</v>
      </c>
      <c r="AC588" t="str">
        <f t="shared" si="88"/>
        <v>Unique</v>
      </c>
      <c r="AD588" t="str">
        <f t="shared" si="89"/>
        <v>Clean</v>
      </c>
    </row>
    <row r="589" spans="1:30" x14ac:dyDescent="0.3">
      <c r="A589" t="s">
        <v>1865</v>
      </c>
      <c r="B589" s="2">
        <v>45861</v>
      </c>
      <c r="C589" s="2">
        <v>45869</v>
      </c>
      <c r="D589" t="s">
        <v>1866</v>
      </c>
      <c r="E589" t="s">
        <v>274</v>
      </c>
      <c r="F589" t="s">
        <v>104</v>
      </c>
      <c r="G589" t="s">
        <v>72</v>
      </c>
      <c r="H589" t="s">
        <v>81</v>
      </c>
      <c r="I589" t="s">
        <v>82</v>
      </c>
      <c r="J589" t="s">
        <v>83</v>
      </c>
      <c r="K589" t="s">
        <v>84</v>
      </c>
      <c r="L589" t="s">
        <v>1867</v>
      </c>
      <c r="M589" t="s">
        <v>59</v>
      </c>
      <c r="N589">
        <v>1</v>
      </c>
      <c r="O589">
        <v>4253.84</v>
      </c>
      <c r="P589" s="3">
        <v>0.15</v>
      </c>
      <c r="Q589">
        <v>3615.76</v>
      </c>
      <c r="R589">
        <v>2951.52</v>
      </c>
      <c r="S589">
        <v>664.24</v>
      </c>
      <c r="T589" t="s">
        <v>111</v>
      </c>
      <c r="U589" t="s">
        <v>77</v>
      </c>
      <c r="V589" s="3">
        <f t="shared" si="81"/>
        <v>0.15</v>
      </c>
      <c r="W589">
        <f t="shared" si="82"/>
        <v>3615.7640000000001</v>
      </c>
      <c r="X589">
        <f t="shared" si="83"/>
        <v>664.24400000000014</v>
      </c>
      <c r="Y589" s="4">
        <f t="shared" si="84"/>
        <v>0.18370778623826114</v>
      </c>
      <c r="Z589">
        <f t="shared" si="85"/>
        <v>8</v>
      </c>
      <c r="AA589">
        <f t="shared" si="86"/>
        <v>7</v>
      </c>
      <c r="AB589">
        <f t="shared" si="87"/>
        <v>2025</v>
      </c>
      <c r="AC589" t="str">
        <f t="shared" si="88"/>
        <v>Unique</v>
      </c>
      <c r="AD589" t="str">
        <f t="shared" si="89"/>
        <v>Warning</v>
      </c>
    </row>
    <row r="590" spans="1:30" x14ac:dyDescent="0.3">
      <c r="A590" t="s">
        <v>1868</v>
      </c>
      <c r="B590" s="2">
        <v>45727</v>
      </c>
      <c r="C590" s="2">
        <v>45731</v>
      </c>
      <c r="D590" t="s">
        <v>1869</v>
      </c>
      <c r="E590" t="s">
        <v>137</v>
      </c>
      <c r="F590" t="s">
        <v>104</v>
      </c>
      <c r="G590" t="s">
        <v>63</v>
      </c>
      <c r="H590" t="s">
        <v>184</v>
      </c>
      <c r="I590" t="s">
        <v>185</v>
      </c>
      <c r="J590" t="s">
        <v>83</v>
      </c>
      <c r="K590" t="s">
        <v>84</v>
      </c>
      <c r="L590" t="s">
        <v>1870</v>
      </c>
      <c r="M590" t="s">
        <v>40</v>
      </c>
      <c r="N590">
        <v>8</v>
      </c>
      <c r="O590">
        <v>4446.3599999999997</v>
      </c>
      <c r="P590" s="3">
        <v>0.1</v>
      </c>
      <c r="Q590">
        <v>32013.79</v>
      </c>
      <c r="R590">
        <v>20896.88</v>
      </c>
      <c r="S590">
        <v>11116.91</v>
      </c>
      <c r="T590" t="s">
        <v>111</v>
      </c>
      <c r="U590" t="s">
        <v>77</v>
      </c>
      <c r="V590" s="3">
        <f t="shared" si="81"/>
        <v>0.1</v>
      </c>
      <c r="W590">
        <f t="shared" si="82"/>
        <v>32013.791999999998</v>
      </c>
      <c r="X590">
        <f t="shared" si="83"/>
        <v>11116.911999999997</v>
      </c>
      <c r="Y590" s="4">
        <f t="shared" si="84"/>
        <v>0.34725383359771933</v>
      </c>
      <c r="Z590">
        <f t="shared" si="85"/>
        <v>4</v>
      </c>
      <c r="AA590">
        <f t="shared" si="86"/>
        <v>3</v>
      </c>
      <c r="AB590">
        <f t="shared" si="87"/>
        <v>2025</v>
      </c>
      <c r="AC590" t="str">
        <f t="shared" si="88"/>
        <v>Unique</v>
      </c>
      <c r="AD590" t="str">
        <f t="shared" si="89"/>
        <v>Warning</v>
      </c>
    </row>
    <row r="591" spans="1:30" x14ac:dyDescent="0.3">
      <c r="A591" t="s">
        <v>1871</v>
      </c>
      <c r="B591" s="2">
        <v>45632</v>
      </c>
      <c r="C591" s="2">
        <v>45638</v>
      </c>
      <c r="D591" t="s">
        <v>1872</v>
      </c>
      <c r="E591" t="s">
        <v>150</v>
      </c>
      <c r="F591" t="s">
        <v>99</v>
      </c>
      <c r="G591" t="s">
        <v>34</v>
      </c>
      <c r="H591" t="s">
        <v>145</v>
      </c>
      <c r="I591" t="s">
        <v>146</v>
      </c>
      <c r="J591" t="s">
        <v>83</v>
      </c>
      <c r="K591" t="s">
        <v>180</v>
      </c>
      <c r="L591" t="s">
        <v>1873</v>
      </c>
      <c r="M591" t="s">
        <v>59</v>
      </c>
      <c r="N591">
        <v>3</v>
      </c>
      <c r="O591">
        <v>524.75</v>
      </c>
      <c r="P591" s="3">
        <v>0</v>
      </c>
      <c r="Q591">
        <v>1574.25</v>
      </c>
      <c r="R591">
        <v>1326.12</v>
      </c>
      <c r="S591">
        <v>248.13</v>
      </c>
      <c r="T591" t="s">
        <v>41</v>
      </c>
      <c r="U591" t="s">
        <v>42</v>
      </c>
      <c r="V591" s="3">
        <f t="shared" si="81"/>
        <v>0</v>
      </c>
      <c r="W591">
        <f t="shared" si="82"/>
        <v>1574.25</v>
      </c>
      <c r="X591">
        <f t="shared" si="83"/>
        <v>248.13000000000011</v>
      </c>
      <c r="Y591" s="4">
        <f t="shared" si="84"/>
        <v>0.15761791329204389</v>
      </c>
      <c r="Z591">
        <f t="shared" si="85"/>
        <v>6</v>
      </c>
      <c r="AA591">
        <f t="shared" si="86"/>
        <v>12</v>
      </c>
      <c r="AB591">
        <f t="shared" si="87"/>
        <v>2024</v>
      </c>
      <c r="AC591" t="str">
        <f t="shared" si="88"/>
        <v>Unique</v>
      </c>
      <c r="AD591" t="str">
        <f t="shared" si="89"/>
        <v>Clean</v>
      </c>
    </row>
    <row r="592" spans="1:30" x14ac:dyDescent="0.3">
      <c r="A592" t="s">
        <v>1874</v>
      </c>
      <c r="B592" s="2">
        <v>45441</v>
      </c>
      <c r="C592" s="2">
        <v>45441</v>
      </c>
      <c r="D592" t="s">
        <v>1875</v>
      </c>
      <c r="E592" t="s">
        <v>137</v>
      </c>
      <c r="F592" t="s">
        <v>104</v>
      </c>
      <c r="G592" t="s">
        <v>34</v>
      </c>
      <c r="H592" t="s">
        <v>360</v>
      </c>
      <c r="I592" t="s">
        <v>361</v>
      </c>
      <c r="J592" t="s">
        <v>50</v>
      </c>
      <c r="K592" t="s">
        <v>75</v>
      </c>
      <c r="L592" t="s">
        <v>1876</v>
      </c>
      <c r="M592" t="s">
        <v>53</v>
      </c>
      <c r="N592">
        <v>6</v>
      </c>
      <c r="O592">
        <v>3430.35</v>
      </c>
      <c r="P592" s="3">
        <v>0</v>
      </c>
      <c r="Q592">
        <v>20582.099999999999</v>
      </c>
      <c r="R592">
        <v>15897.65</v>
      </c>
      <c r="S592">
        <v>4684.45</v>
      </c>
      <c r="T592" t="s">
        <v>120</v>
      </c>
      <c r="U592" t="s">
        <v>77</v>
      </c>
      <c r="V592" s="3">
        <f t="shared" si="81"/>
        <v>0</v>
      </c>
      <c r="W592">
        <f t="shared" si="82"/>
        <v>20582.099999999999</v>
      </c>
      <c r="X592">
        <f t="shared" si="83"/>
        <v>4684.4499999999989</v>
      </c>
      <c r="Y592" s="4">
        <f t="shared" si="84"/>
        <v>0.22759825285077806</v>
      </c>
      <c r="Z592">
        <f t="shared" si="85"/>
        <v>0</v>
      </c>
      <c r="AA592">
        <f t="shared" si="86"/>
        <v>5</v>
      </c>
      <c r="AB592">
        <f t="shared" si="87"/>
        <v>2024</v>
      </c>
      <c r="AC592" t="str">
        <f t="shared" si="88"/>
        <v>Unique</v>
      </c>
      <c r="AD592" t="str">
        <f t="shared" si="89"/>
        <v>Warning</v>
      </c>
    </row>
    <row r="593" spans="1:30" x14ac:dyDescent="0.3">
      <c r="A593" t="s">
        <v>1877</v>
      </c>
      <c r="B593" s="2">
        <v>45344</v>
      </c>
      <c r="C593" s="2">
        <v>45346</v>
      </c>
      <c r="D593" t="s">
        <v>1878</v>
      </c>
      <c r="E593" t="s">
        <v>141</v>
      </c>
      <c r="F593" t="s">
        <v>33</v>
      </c>
      <c r="G593" t="s">
        <v>63</v>
      </c>
      <c r="H593" t="s">
        <v>184</v>
      </c>
      <c r="I593" t="s">
        <v>185</v>
      </c>
      <c r="J593" t="s">
        <v>83</v>
      </c>
      <c r="K593" t="s">
        <v>89</v>
      </c>
      <c r="L593" t="s">
        <v>1879</v>
      </c>
      <c r="M593" t="s">
        <v>59</v>
      </c>
      <c r="N593">
        <v>3</v>
      </c>
      <c r="O593">
        <v>3545.08</v>
      </c>
      <c r="P593" s="3">
        <v>0</v>
      </c>
      <c r="Q593">
        <v>10635.24</v>
      </c>
      <c r="R593">
        <v>6031.88</v>
      </c>
      <c r="S593">
        <v>4603.3599999999997</v>
      </c>
      <c r="T593" t="s">
        <v>164</v>
      </c>
      <c r="U593" t="s">
        <v>112</v>
      </c>
      <c r="V593" s="3">
        <f t="shared" si="81"/>
        <v>0</v>
      </c>
      <c r="W593">
        <f t="shared" si="82"/>
        <v>10635.24</v>
      </c>
      <c r="X593">
        <f t="shared" si="83"/>
        <v>4603.3599999999997</v>
      </c>
      <c r="Y593" s="4">
        <f t="shared" si="84"/>
        <v>0.43284025560307055</v>
      </c>
      <c r="Z593">
        <f t="shared" si="85"/>
        <v>2</v>
      </c>
      <c r="AA593">
        <f t="shared" si="86"/>
        <v>2</v>
      </c>
      <c r="AB593">
        <f t="shared" si="87"/>
        <v>2024</v>
      </c>
      <c r="AC593" t="str">
        <f t="shared" si="88"/>
        <v>Unique</v>
      </c>
      <c r="AD593" t="str">
        <f t="shared" si="89"/>
        <v>Warning</v>
      </c>
    </row>
    <row r="594" spans="1:30" x14ac:dyDescent="0.3">
      <c r="A594" t="s">
        <v>1880</v>
      </c>
      <c r="B594" s="2">
        <v>45355</v>
      </c>
      <c r="C594" s="2">
        <v>45360</v>
      </c>
      <c r="D594" t="s">
        <v>1881</v>
      </c>
      <c r="E594" t="s">
        <v>45</v>
      </c>
      <c r="F594" t="s">
        <v>33</v>
      </c>
      <c r="G594" t="s">
        <v>47</v>
      </c>
      <c r="H594" t="s">
        <v>108</v>
      </c>
      <c r="I594" t="s">
        <v>109</v>
      </c>
      <c r="J594" t="s">
        <v>83</v>
      </c>
      <c r="K594" t="s">
        <v>84</v>
      </c>
      <c r="L594" t="s">
        <v>1882</v>
      </c>
      <c r="M594" t="s">
        <v>53</v>
      </c>
      <c r="N594">
        <v>8</v>
      </c>
      <c r="O594">
        <v>4401.41</v>
      </c>
      <c r="P594" s="3">
        <v>0.15</v>
      </c>
      <c r="Q594">
        <v>29929.59</v>
      </c>
      <c r="R594">
        <v>22436.03</v>
      </c>
      <c r="S594">
        <v>7493.56</v>
      </c>
      <c r="T594" t="s">
        <v>41</v>
      </c>
      <c r="U594" t="s">
        <v>42</v>
      </c>
      <c r="V594" s="3">
        <f t="shared" si="81"/>
        <v>0.15</v>
      </c>
      <c r="W594">
        <f t="shared" si="82"/>
        <v>29929.588</v>
      </c>
      <c r="X594">
        <f t="shared" si="83"/>
        <v>7493.5580000000009</v>
      </c>
      <c r="Y594" s="4">
        <f t="shared" si="84"/>
        <v>0.25037290857461858</v>
      </c>
      <c r="Z594">
        <f t="shared" si="85"/>
        <v>5</v>
      </c>
      <c r="AA594">
        <f t="shared" si="86"/>
        <v>3</v>
      </c>
      <c r="AB594">
        <f t="shared" si="87"/>
        <v>2024</v>
      </c>
      <c r="AC594" t="str">
        <f t="shared" si="88"/>
        <v>Unique</v>
      </c>
      <c r="AD594" t="str">
        <f t="shared" si="89"/>
        <v>Clean</v>
      </c>
    </row>
    <row r="595" spans="1:30" x14ac:dyDescent="0.3">
      <c r="A595" t="s">
        <v>1883</v>
      </c>
      <c r="B595" s="2">
        <v>45927</v>
      </c>
      <c r="C595" s="2">
        <v>45929</v>
      </c>
      <c r="D595" t="s">
        <v>1675</v>
      </c>
      <c r="E595" t="s">
        <v>62</v>
      </c>
      <c r="F595" t="s">
        <v>104</v>
      </c>
      <c r="G595" t="s">
        <v>34</v>
      </c>
      <c r="H595" t="s">
        <v>145</v>
      </c>
      <c r="I595" t="s">
        <v>146</v>
      </c>
      <c r="J595" t="s">
        <v>50</v>
      </c>
      <c r="K595" t="s">
        <v>51</v>
      </c>
      <c r="L595" t="s">
        <v>1884</v>
      </c>
      <c r="M595" t="s">
        <v>40</v>
      </c>
      <c r="N595">
        <v>9</v>
      </c>
      <c r="O595">
        <v>4100.1099999999997</v>
      </c>
      <c r="P595" s="3">
        <v>0.25</v>
      </c>
      <c r="Q595">
        <v>27675.74</v>
      </c>
      <c r="R595">
        <v>15571.08</v>
      </c>
      <c r="S595">
        <v>12104.66</v>
      </c>
      <c r="T595" t="s">
        <v>41</v>
      </c>
      <c r="U595" t="s">
        <v>42</v>
      </c>
      <c r="V595" s="3">
        <f t="shared" si="81"/>
        <v>0.25</v>
      </c>
      <c r="W595">
        <f t="shared" si="82"/>
        <v>27675.7425</v>
      </c>
      <c r="X595">
        <f t="shared" si="83"/>
        <v>12104.6625</v>
      </c>
      <c r="Y595" s="4">
        <f t="shared" si="84"/>
        <v>0.4373744444254748</v>
      </c>
      <c r="Z595">
        <f t="shared" si="85"/>
        <v>2</v>
      </c>
      <c r="AA595">
        <f t="shared" si="86"/>
        <v>9</v>
      </c>
      <c r="AB595">
        <f t="shared" si="87"/>
        <v>2025</v>
      </c>
      <c r="AC595" t="str">
        <f t="shared" si="88"/>
        <v>Unique</v>
      </c>
      <c r="AD595" t="str">
        <f t="shared" si="89"/>
        <v>Clean</v>
      </c>
    </row>
    <row r="596" spans="1:30" x14ac:dyDescent="0.3">
      <c r="A596" t="s">
        <v>1885</v>
      </c>
      <c r="B596" s="2">
        <v>45554</v>
      </c>
      <c r="C596" s="2">
        <v>45556</v>
      </c>
      <c r="D596" t="s">
        <v>1886</v>
      </c>
      <c r="E596" t="s">
        <v>32</v>
      </c>
      <c r="F596" t="s">
        <v>46</v>
      </c>
      <c r="G596" t="s">
        <v>47</v>
      </c>
      <c r="H596" t="s">
        <v>108</v>
      </c>
      <c r="I596" t="s">
        <v>109</v>
      </c>
      <c r="J596" t="s">
        <v>50</v>
      </c>
      <c r="K596" t="s">
        <v>75</v>
      </c>
      <c r="L596" t="s">
        <v>1887</v>
      </c>
      <c r="M596" t="s">
        <v>59</v>
      </c>
      <c r="N596">
        <v>3</v>
      </c>
      <c r="O596">
        <v>3981.76</v>
      </c>
      <c r="P596" s="3">
        <v>0</v>
      </c>
      <c r="Q596">
        <v>11945.28</v>
      </c>
      <c r="R596">
        <v>9700.31</v>
      </c>
      <c r="S596">
        <v>2244.9699999999998</v>
      </c>
      <c r="T596" t="s">
        <v>41</v>
      </c>
      <c r="U596" t="s">
        <v>42</v>
      </c>
      <c r="V596" s="3">
        <f t="shared" si="81"/>
        <v>0</v>
      </c>
      <c r="W596">
        <f t="shared" si="82"/>
        <v>11945.28</v>
      </c>
      <c r="X596">
        <f t="shared" si="83"/>
        <v>2244.9700000000012</v>
      </c>
      <c r="Y596" s="4">
        <f t="shared" si="84"/>
        <v>0.18793782983739193</v>
      </c>
      <c r="Z596">
        <f t="shared" si="85"/>
        <v>2</v>
      </c>
      <c r="AA596">
        <f t="shared" si="86"/>
        <v>9</v>
      </c>
      <c r="AB596">
        <f t="shared" si="87"/>
        <v>2024</v>
      </c>
      <c r="AC596" t="str">
        <f t="shared" si="88"/>
        <v>Unique</v>
      </c>
      <c r="AD596" t="str">
        <f t="shared" si="89"/>
        <v>Clean</v>
      </c>
    </row>
    <row r="597" spans="1:30" x14ac:dyDescent="0.3">
      <c r="A597" t="s">
        <v>1888</v>
      </c>
      <c r="B597" s="2">
        <v>45699</v>
      </c>
      <c r="C597" s="2">
        <v>45704</v>
      </c>
      <c r="D597" t="s">
        <v>1889</v>
      </c>
      <c r="E597" t="s">
        <v>45</v>
      </c>
      <c r="F597" t="s">
        <v>99</v>
      </c>
      <c r="G597" t="s">
        <v>34</v>
      </c>
      <c r="H597" t="s">
        <v>145</v>
      </c>
      <c r="I597" t="s">
        <v>146</v>
      </c>
      <c r="J597" t="s">
        <v>83</v>
      </c>
      <c r="K597" t="s">
        <v>180</v>
      </c>
      <c r="L597" t="s">
        <v>1890</v>
      </c>
      <c r="M597" t="s">
        <v>59</v>
      </c>
      <c r="N597">
        <v>8</v>
      </c>
      <c r="O597">
        <v>1825.56</v>
      </c>
      <c r="P597" s="3">
        <v>0.1</v>
      </c>
      <c r="Q597">
        <v>13144.03</v>
      </c>
      <c r="R597">
        <v>9764</v>
      </c>
      <c r="S597">
        <v>3380.03</v>
      </c>
      <c r="T597" t="s">
        <v>41</v>
      </c>
      <c r="U597" t="s">
        <v>42</v>
      </c>
      <c r="V597" s="3">
        <f t="shared" si="81"/>
        <v>0.1</v>
      </c>
      <c r="W597">
        <f t="shared" si="82"/>
        <v>13144.031999999999</v>
      </c>
      <c r="X597">
        <f t="shared" si="83"/>
        <v>3380.0319999999992</v>
      </c>
      <c r="Y597" s="4">
        <f t="shared" si="84"/>
        <v>0.25715336055176974</v>
      </c>
      <c r="Z597">
        <f t="shared" si="85"/>
        <v>5</v>
      </c>
      <c r="AA597">
        <f t="shared" si="86"/>
        <v>2</v>
      </c>
      <c r="AB597">
        <f t="shared" si="87"/>
        <v>2025</v>
      </c>
      <c r="AC597" t="str">
        <f t="shared" si="88"/>
        <v>Unique</v>
      </c>
      <c r="AD597" t="str">
        <f t="shared" si="89"/>
        <v>Clean</v>
      </c>
    </row>
    <row r="598" spans="1:30" x14ac:dyDescent="0.3">
      <c r="A598" t="s">
        <v>1891</v>
      </c>
      <c r="B598" s="2">
        <v>45392</v>
      </c>
      <c r="C598" s="2">
        <v>45398</v>
      </c>
      <c r="D598" t="s">
        <v>1892</v>
      </c>
      <c r="E598" t="s">
        <v>98</v>
      </c>
      <c r="F598" t="s">
        <v>33</v>
      </c>
      <c r="G598" t="s">
        <v>63</v>
      </c>
      <c r="H598" t="s">
        <v>194</v>
      </c>
      <c r="I598" t="s">
        <v>195</v>
      </c>
      <c r="J598" t="s">
        <v>50</v>
      </c>
      <c r="K598" t="s">
        <v>75</v>
      </c>
      <c r="L598" t="s">
        <v>1893</v>
      </c>
      <c r="M598" t="s">
        <v>40</v>
      </c>
      <c r="N598">
        <v>9</v>
      </c>
      <c r="O598">
        <v>2723.26</v>
      </c>
      <c r="P598" s="3">
        <v>0.25</v>
      </c>
      <c r="Q598">
        <v>18382.009999999998</v>
      </c>
      <c r="R598">
        <v>13108.2</v>
      </c>
      <c r="S598">
        <v>5273.81</v>
      </c>
      <c r="T598" t="s">
        <v>41</v>
      </c>
      <c r="U598" t="s">
        <v>42</v>
      </c>
      <c r="V598" s="3">
        <f t="shared" si="81"/>
        <v>0.25</v>
      </c>
      <c r="W598">
        <f t="shared" si="82"/>
        <v>18382.005000000005</v>
      </c>
      <c r="X598">
        <f t="shared" si="83"/>
        <v>5273.8050000000039</v>
      </c>
      <c r="Y598" s="4">
        <f t="shared" si="84"/>
        <v>0.28690042245119629</v>
      </c>
      <c r="Z598">
        <f t="shared" si="85"/>
        <v>6</v>
      </c>
      <c r="AA598">
        <f t="shared" si="86"/>
        <v>4</v>
      </c>
      <c r="AB598">
        <f t="shared" si="87"/>
        <v>2024</v>
      </c>
      <c r="AC598" t="str">
        <f t="shared" si="88"/>
        <v>Unique</v>
      </c>
      <c r="AD598" t="str">
        <f t="shared" si="89"/>
        <v>Clean</v>
      </c>
    </row>
    <row r="599" spans="1:30" x14ac:dyDescent="0.3">
      <c r="A599" t="s">
        <v>1894</v>
      </c>
      <c r="B599" s="2">
        <v>45846</v>
      </c>
      <c r="C599" s="2">
        <v>45846</v>
      </c>
      <c r="D599" t="s">
        <v>1895</v>
      </c>
      <c r="E599" t="s">
        <v>98</v>
      </c>
      <c r="F599" t="s">
        <v>33</v>
      </c>
      <c r="G599" t="s">
        <v>63</v>
      </c>
      <c r="H599" t="s">
        <v>64</v>
      </c>
      <c r="I599" t="s">
        <v>65</v>
      </c>
      <c r="J599" t="s">
        <v>83</v>
      </c>
      <c r="K599" t="s">
        <v>89</v>
      </c>
      <c r="L599" t="s">
        <v>1896</v>
      </c>
      <c r="M599" t="s">
        <v>53</v>
      </c>
      <c r="N599">
        <v>9</v>
      </c>
      <c r="O599">
        <v>274.88</v>
      </c>
      <c r="P599" s="3">
        <v>0.25</v>
      </c>
      <c r="Q599">
        <v>1855.44</v>
      </c>
      <c r="R599">
        <v>1262.74</v>
      </c>
      <c r="S599">
        <v>592.70000000000005</v>
      </c>
      <c r="T599" t="s">
        <v>41</v>
      </c>
      <c r="U599" t="s">
        <v>42</v>
      </c>
      <c r="V599" s="3">
        <f t="shared" si="81"/>
        <v>0.25</v>
      </c>
      <c r="W599">
        <f t="shared" si="82"/>
        <v>1855.44</v>
      </c>
      <c r="X599">
        <f t="shared" si="83"/>
        <v>592.70000000000005</v>
      </c>
      <c r="Y599" s="4">
        <f t="shared" si="84"/>
        <v>0.3194390548872505</v>
      </c>
      <c r="Z599">
        <f t="shared" si="85"/>
        <v>0</v>
      </c>
      <c r="AA599">
        <f t="shared" si="86"/>
        <v>7</v>
      </c>
      <c r="AB599">
        <f t="shared" si="87"/>
        <v>2025</v>
      </c>
      <c r="AC599" t="str">
        <f t="shared" si="88"/>
        <v>Unique</v>
      </c>
      <c r="AD599" t="str">
        <f t="shared" si="89"/>
        <v>Clean</v>
      </c>
    </row>
    <row r="600" spans="1:30" x14ac:dyDescent="0.3">
      <c r="A600" t="s">
        <v>1897</v>
      </c>
      <c r="B600" s="2">
        <v>45521</v>
      </c>
      <c r="C600" s="2">
        <v>45528</v>
      </c>
      <c r="D600" t="s">
        <v>1898</v>
      </c>
      <c r="E600" t="s">
        <v>71</v>
      </c>
      <c r="F600" t="s">
        <v>99</v>
      </c>
      <c r="G600" t="s">
        <v>47</v>
      </c>
      <c r="H600" t="s">
        <v>108</v>
      </c>
      <c r="I600" t="s">
        <v>109</v>
      </c>
      <c r="J600" t="s">
        <v>83</v>
      </c>
      <c r="K600" t="s">
        <v>89</v>
      </c>
      <c r="L600" t="s">
        <v>1899</v>
      </c>
      <c r="M600" t="s">
        <v>53</v>
      </c>
      <c r="N600">
        <v>3</v>
      </c>
      <c r="O600">
        <v>1490.69</v>
      </c>
      <c r="P600" s="3">
        <v>0.25</v>
      </c>
      <c r="Q600">
        <v>3354.05</v>
      </c>
      <c r="R600">
        <v>2672.67</v>
      </c>
      <c r="S600">
        <v>681.38</v>
      </c>
      <c r="T600" t="s">
        <v>41</v>
      </c>
      <c r="U600" t="s">
        <v>42</v>
      </c>
      <c r="V600" s="3">
        <f t="shared" si="81"/>
        <v>0.25</v>
      </c>
      <c r="W600">
        <f t="shared" si="82"/>
        <v>3354.0524999999998</v>
      </c>
      <c r="X600">
        <f t="shared" si="83"/>
        <v>681.38249999999971</v>
      </c>
      <c r="Y600" s="4">
        <f t="shared" si="84"/>
        <v>0.20315200790685289</v>
      </c>
      <c r="Z600">
        <f t="shared" si="85"/>
        <v>7</v>
      </c>
      <c r="AA600">
        <f t="shared" si="86"/>
        <v>8</v>
      </c>
      <c r="AB600">
        <f t="shared" si="87"/>
        <v>2024</v>
      </c>
      <c r="AC600" t="str">
        <f t="shared" si="88"/>
        <v>Unique</v>
      </c>
      <c r="AD600" t="str">
        <f t="shared" si="89"/>
        <v>Clean</v>
      </c>
    </row>
    <row r="601" spans="1:30" x14ac:dyDescent="0.3">
      <c r="A601" t="s">
        <v>1900</v>
      </c>
      <c r="B601" s="2">
        <v>45523</v>
      </c>
      <c r="C601" s="2">
        <v>45525</v>
      </c>
      <c r="D601" t="s">
        <v>1901</v>
      </c>
      <c r="E601" t="s">
        <v>62</v>
      </c>
      <c r="F601" t="s">
        <v>33</v>
      </c>
      <c r="G601" t="s">
        <v>34</v>
      </c>
      <c r="H601" t="s">
        <v>131</v>
      </c>
      <c r="I601" t="s">
        <v>132</v>
      </c>
      <c r="J601" t="s">
        <v>83</v>
      </c>
      <c r="K601" t="s">
        <v>180</v>
      </c>
      <c r="L601" t="s">
        <v>1902</v>
      </c>
      <c r="M601" t="s">
        <v>59</v>
      </c>
      <c r="N601">
        <v>3</v>
      </c>
      <c r="O601">
        <v>1103.54</v>
      </c>
      <c r="P601" s="3">
        <v>0.25</v>
      </c>
      <c r="Q601">
        <v>2482.9699999999998</v>
      </c>
      <c r="R601">
        <v>1621.72</v>
      </c>
      <c r="S601">
        <v>861.25</v>
      </c>
      <c r="T601" t="s">
        <v>41</v>
      </c>
      <c r="U601" t="s">
        <v>42</v>
      </c>
      <c r="V601" s="3">
        <f t="shared" si="81"/>
        <v>0.25</v>
      </c>
      <c r="W601">
        <f t="shared" si="82"/>
        <v>2482.9650000000001</v>
      </c>
      <c r="X601">
        <f t="shared" si="83"/>
        <v>861.24500000000012</v>
      </c>
      <c r="Y601" s="4">
        <f t="shared" si="84"/>
        <v>0.34686151435884116</v>
      </c>
      <c r="Z601">
        <f t="shared" si="85"/>
        <v>2</v>
      </c>
      <c r="AA601">
        <f t="shared" si="86"/>
        <v>8</v>
      </c>
      <c r="AB601">
        <f t="shared" si="87"/>
        <v>2024</v>
      </c>
      <c r="AC601" t="str">
        <f t="shared" si="88"/>
        <v>Unique</v>
      </c>
      <c r="AD601" t="str">
        <f t="shared" si="89"/>
        <v>Clean</v>
      </c>
    </row>
    <row r="602" spans="1:30" x14ac:dyDescent="0.3">
      <c r="A602" t="s">
        <v>1903</v>
      </c>
      <c r="B602" s="2">
        <v>45721</v>
      </c>
      <c r="C602" s="2">
        <v>45728</v>
      </c>
      <c r="D602" t="s">
        <v>1904</v>
      </c>
      <c r="E602" t="s">
        <v>71</v>
      </c>
      <c r="F602" t="s">
        <v>99</v>
      </c>
      <c r="G602" t="s">
        <v>72</v>
      </c>
      <c r="H602" t="s">
        <v>81</v>
      </c>
      <c r="I602" t="s">
        <v>82</v>
      </c>
      <c r="J602" t="s">
        <v>37</v>
      </c>
      <c r="K602" t="s">
        <v>133</v>
      </c>
      <c r="L602" t="s">
        <v>1905</v>
      </c>
      <c r="M602" t="s">
        <v>53</v>
      </c>
      <c r="N602">
        <v>3</v>
      </c>
      <c r="O602">
        <v>3682.75</v>
      </c>
      <c r="P602" s="3"/>
      <c r="Q602">
        <v>11048.25</v>
      </c>
      <c r="R602">
        <v>9062.7199999999993</v>
      </c>
      <c r="S602">
        <v>1985.53</v>
      </c>
      <c r="T602" t="s">
        <v>41</v>
      </c>
      <c r="U602" t="s">
        <v>42</v>
      </c>
      <c r="V602" s="3">
        <f t="shared" si="81"/>
        <v>0</v>
      </c>
      <c r="W602">
        <f t="shared" si="82"/>
        <v>11048.25</v>
      </c>
      <c r="X602">
        <f t="shared" si="83"/>
        <v>1985.5300000000007</v>
      </c>
      <c r="Y602" s="4">
        <f t="shared" si="84"/>
        <v>0.17971443441268986</v>
      </c>
      <c r="Z602">
        <f t="shared" si="85"/>
        <v>7</v>
      </c>
      <c r="AA602">
        <f t="shared" si="86"/>
        <v>3</v>
      </c>
      <c r="AB602">
        <f t="shared" si="87"/>
        <v>2025</v>
      </c>
      <c r="AC602" t="str">
        <f t="shared" si="88"/>
        <v>Unique</v>
      </c>
      <c r="AD602" t="str">
        <f t="shared" si="89"/>
        <v>Clean</v>
      </c>
    </row>
    <row r="603" spans="1:30" x14ac:dyDescent="0.3">
      <c r="A603" t="s">
        <v>1906</v>
      </c>
      <c r="B603" s="2">
        <v>45317</v>
      </c>
      <c r="C603" s="2">
        <v>45322</v>
      </c>
      <c r="D603" t="s">
        <v>1907</v>
      </c>
      <c r="E603" t="s">
        <v>71</v>
      </c>
      <c r="F603" t="s">
        <v>104</v>
      </c>
      <c r="G603" t="s">
        <v>47</v>
      </c>
      <c r="H603" t="s">
        <v>108</v>
      </c>
      <c r="I603" t="s">
        <v>109</v>
      </c>
      <c r="J603" t="s">
        <v>37</v>
      </c>
      <c r="K603" t="s">
        <v>38</v>
      </c>
      <c r="L603" t="s">
        <v>1908</v>
      </c>
      <c r="M603" t="s">
        <v>40</v>
      </c>
      <c r="N603">
        <v>5</v>
      </c>
      <c r="O603">
        <v>1615.03</v>
      </c>
      <c r="P603" s="3">
        <v>0.2</v>
      </c>
      <c r="Q603">
        <v>6460.12</v>
      </c>
      <c r="R603">
        <v>3604.03</v>
      </c>
      <c r="S603">
        <v>2856.09</v>
      </c>
      <c r="T603" t="s">
        <v>41</v>
      </c>
      <c r="U603" t="s">
        <v>42</v>
      </c>
      <c r="V603" s="3">
        <f t="shared" si="81"/>
        <v>0.2</v>
      </c>
      <c r="W603">
        <f t="shared" si="82"/>
        <v>6460.12</v>
      </c>
      <c r="X603">
        <f t="shared" si="83"/>
        <v>2856.0899999999997</v>
      </c>
      <c r="Y603" s="4">
        <f t="shared" si="84"/>
        <v>0.44211098245853014</v>
      </c>
      <c r="Z603">
        <f t="shared" si="85"/>
        <v>5</v>
      </c>
      <c r="AA603">
        <f t="shared" si="86"/>
        <v>1</v>
      </c>
      <c r="AB603">
        <f t="shared" si="87"/>
        <v>2024</v>
      </c>
      <c r="AC603" t="str">
        <f t="shared" si="88"/>
        <v>Unique</v>
      </c>
      <c r="AD603" t="str">
        <f t="shared" si="89"/>
        <v>Clean</v>
      </c>
    </row>
    <row r="604" spans="1:30" x14ac:dyDescent="0.3">
      <c r="A604" t="s">
        <v>1909</v>
      </c>
      <c r="B604" s="2">
        <v>45588</v>
      </c>
      <c r="C604" s="2">
        <v>45595</v>
      </c>
      <c r="D604" t="s">
        <v>1910</v>
      </c>
      <c r="E604" t="s">
        <v>137</v>
      </c>
      <c r="F604" t="s">
        <v>33</v>
      </c>
      <c r="G604" t="s">
        <v>47</v>
      </c>
      <c r="H604" t="s">
        <v>238</v>
      </c>
      <c r="I604" t="s">
        <v>239</v>
      </c>
      <c r="J604" t="s">
        <v>83</v>
      </c>
      <c r="K604" t="s">
        <v>89</v>
      </c>
      <c r="L604" t="s">
        <v>1911</v>
      </c>
      <c r="M604" t="s">
        <v>40</v>
      </c>
      <c r="N604">
        <v>9</v>
      </c>
      <c r="O604">
        <v>3423.82</v>
      </c>
      <c r="P604" s="3">
        <v>0.15</v>
      </c>
      <c r="Q604">
        <v>26192.22</v>
      </c>
      <c r="R604">
        <v>20795.55</v>
      </c>
      <c r="S604">
        <v>5396.67</v>
      </c>
      <c r="T604" t="s">
        <v>41</v>
      </c>
      <c r="U604" t="s">
        <v>42</v>
      </c>
      <c r="V604" s="3">
        <f t="shared" si="81"/>
        <v>0.15</v>
      </c>
      <c r="W604">
        <f t="shared" si="82"/>
        <v>26192.223000000002</v>
      </c>
      <c r="X604">
        <f t="shared" si="83"/>
        <v>5396.6730000000025</v>
      </c>
      <c r="Y604" s="4">
        <f t="shared" si="84"/>
        <v>0.20604104508426041</v>
      </c>
      <c r="Z604">
        <f t="shared" si="85"/>
        <v>7</v>
      </c>
      <c r="AA604">
        <f t="shared" si="86"/>
        <v>10</v>
      </c>
      <c r="AB604">
        <f t="shared" si="87"/>
        <v>2024</v>
      </c>
      <c r="AC604" t="str">
        <f t="shared" si="88"/>
        <v>Unique</v>
      </c>
      <c r="AD604" t="str">
        <f t="shared" si="89"/>
        <v>Clean</v>
      </c>
    </row>
    <row r="605" spans="1:30" x14ac:dyDescent="0.3">
      <c r="A605" t="s">
        <v>1912</v>
      </c>
      <c r="B605" s="2">
        <v>45660</v>
      </c>
      <c r="C605" s="2">
        <v>45668</v>
      </c>
      <c r="D605" t="s">
        <v>344</v>
      </c>
      <c r="E605" t="s">
        <v>80</v>
      </c>
      <c r="F605" t="s">
        <v>99</v>
      </c>
      <c r="G605" t="s">
        <v>47</v>
      </c>
      <c r="H605" t="s">
        <v>154</v>
      </c>
      <c r="I605" t="s">
        <v>155</v>
      </c>
      <c r="J605" t="s">
        <v>83</v>
      </c>
      <c r="K605" t="s">
        <v>84</v>
      </c>
      <c r="L605" t="s">
        <v>1913</v>
      </c>
      <c r="M605" t="s">
        <v>59</v>
      </c>
      <c r="N605">
        <v>8</v>
      </c>
      <c r="O605">
        <v>2574.29</v>
      </c>
      <c r="P605" s="3">
        <v>0.05</v>
      </c>
      <c r="Q605">
        <v>19564.599999999999</v>
      </c>
      <c r="R605">
        <v>11154.59</v>
      </c>
      <c r="S605">
        <v>8410.01</v>
      </c>
      <c r="T605" t="s">
        <v>120</v>
      </c>
      <c r="U605" t="s">
        <v>77</v>
      </c>
      <c r="V605" s="3">
        <f t="shared" si="81"/>
        <v>0.05</v>
      </c>
      <c r="W605">
        <f t="shared" si="82"/>
        <v>19564.603999999999</v>
      </c>
      <c r="X605">
        <f t="shared" si="83"/>
        <v>8410.0139999999992</v>
      </c>
      <c r="Y605" s="4">
        <f t="shared" si="84"/>
        <v>0.42985863654587642</v>
      </c>
      <c r="Z605">
        <f t="shared" si="85"/>
        <v>8</v>
      </c>
      <c r="AA605">
        <f t="shared" si="86"/>
        <v>1</v>
      </c>
      <c r="AB605">
        <f t="shared" si="87"/>
        <v>2025</v>
      </c>
      <c r="AC605" t="str">
        <f t="shared" si="88"/>
        <v>Unique</v>
      </c>
      <c r="AD605" t="str">
        <f t="shared" si="89"/>
        <v>Warning</v>
      </c>
    </row>
    <row r="606" spans="1:30" x14ac:dyDescent="0.3">
      <c r="A606" t="s">
        <v>1914</v>
      </c>
      <c r="B606" s="2">
        <v>45693</v>
      </c>
      <c r="C606" s="2">
        <v>45694</v>
      </c>
      <c r="D606" t="s">
        <v>1915</v>
      </c>
      <c r="E606" t="s">
        <v>71</v>
      </c>
      <c r="F606" t="s">
        <v>33</v>
      </c>
      <c r="G606" t="s">
        <v>72</v>
      </c>
      <c r="H606" t="s">
        <v>81</v>
      </c>
      <c r="I606" t="s">
        <v>82</v>
      </c>
      <c r="J606" t="s">
        <v>37</v>
      </c>
      <c r="K606" t="s">
        <v>162</v>
      </c>
      <c r="L606" t="s">
        <v>1916</v>
      </c>
      <c r="M606" t="s">
        <v>53</v>
      </c>
      <c r="N606">
        <v>3</v>
      </c>
      <c r="O606">
        <v>1076.3</v>
      </c>
      <c r="P606" s="3">
        <v>0</v>
      </c>
      <c r="Q606">
        <v>3228.9</v>
      </c>
      <c r="R606">
        <v>1853.23</v>
      </c>
      <c r="S606">
        <v>1375.67</v>
      </c>
      <c r="T606" t="s">
        <v>41</v>
      </c>
      <c r="U606" t="s">
        <v>42</v>
      </c>
      <c r="V606" s="3">
        <f t="shared" si="81"/>
        <v>0</v>
      </c>
      <c r="W606">
        <f t="shared" si="82"/>
        <v>3228.8999999999996</v>
      </c>
      <c r="X606">
        <f t="shared" si="83"/>
        <v>1375.6699999999996</v>
      </c>
      <c r="Y606" s="4">
        <f t="shared" si="84"/>
        <v>0.42604911889497965</v>
      </c>
      <c r="Z606">
        <f t="shared" si="85"/>
        <v>1</v>
      </c>
      <c r="AA606">
        <f t="shared" si="86"/>
        <v>2</v>
      </c>
      <c r="AB606">
        <f t="shared" si="87"/>
        <v>2025</v>
      </c>
      <c r="AC606" t="str">
        <f t="shared" si="88"/>
        <v>Unique</v>
      </c>
      <c r="AD606" t="str">
        <f t="shared" si="89"/>
        <v>Clean</v>
      </c>
    </row>
    <row r="607" spans="1:30" x14ac:dyDescent="0.3">
      <c r="A607" t="s">
        <v>1917</v>
      </c>
      <c r="B607" s="2">
        <v>45847</v>
      </c>
      <c r="C607" s="2">
        <v>45851</v>
      </c>
      <c r="D607" t="s">
        <v>1918</v>
      </c>
      <c r="E607" t="s">
        <v>274</v>
      </c>
      <c r="F607" t="s">
        <v>99</v>
      </c>
      <c r="G607" t="s">
        <v>72</v>
      </c>
      <c r="H607" t="s">
        <v>199</v>
      </c>
      <c r="I607" t="s">
        <v>200</v>
      </c>
      <c r="J607" t="s">
        <v>50</v>
      </c>
      <c r="K607" t="s">
        <v>66</v>
      </c>
      <c r="L607" t="s">
        <v>1919</v>
      </c>
      <c r="M607" t="s">
        <v>40</v>
      </c>
      <c r="N607">
        <v>5</v>
      </c>
      <c r="O607">
        <v>1680.01</v>
      </c>
      <c r="P607" s="3" t="s">
        <v>777</v>
      </c>
      <c r="Q607">
        <v>7560.04</v>
      </c>
      <c r="R607">
        <v>6448.05</v>
      </c>
      <c r="S607">
        <v>1111.99</v>
      </c>
      <c r="T607" t="s">
        <v>41</v>
      </c>
      <c r="U607" t="s">
        <v>77</v>
      </c>
      <c r="V607" s="3">
        <f t="shared" si="81"/>
        <v>0.85</v>
      </c>
      <c r="W607">
        <f t="shared" si="82"/>
        <v>1260.0075000000002</v>
      </c>
      <c r="X607">
        <f t="shared" si="83"/>
        <v>-5188.0424999999996</v>
      </c>
      <c r="Y607" s="4">
        <f t="shared" si="84"/>
        <v>-4.1174695388717915</v>
      </c>
      <c r="Z607">
        <f t="shared" si="85"/>
        <v>4</v>
      </c>
      <c r="AA607">
        <f t="shared" si="86"/>
        <v>7</v>
      </c>
      <c r="AB607">
        <f t="shared" si="87"/>
        <v>2025</v>
      </c>
      <c r="AC607" t="str">
        <f t="shared" si="88"/>
        <v>Unique</v>
      </c>
      <c r="AD607" t="str">
        <f t="shared" si="89"/>
        <v>Invalid</v>
      </c>
    </row>
    <row r="608" spans="1:30" x14ac:dyDescent="0.3">
      <c r="A608" t="s">
        <v>1920</v>
      </c>
      <c r="B608" s="2">
        <v>45710</v>
      </c>
      <c r="C608" s="2">
        <v>45716</v>
      </c>
      <c r="D608" t="s">
        <v>1921</v>
      </c>
      <c r="E608" t="s">
        <v>127</v>
      </c>
      <c r="F608" t="s">
        <v>104</v>
      </c>
      <c r="G608" t="s">
        <v>72</v>
      </c>
      <c r="H608" t="s">
        <v>81</v>
      </c>
      <c r="I608" t="s">
        <v>82</v>
      </c>
      <c r="J608" t="s">
        <v>83</v>
      </c>
      <c r="K608" t="s">
        <v>89</v>
      </c>
      <c r="L608" t="s">
        <v>1922</v>
      </c>
      <c r="M608" t="s">
        <v>53</v>
      </c>
      <c r="N608">
        <v>3</v>
      </c>
      <c r="O608">
        <v>3890.81</v>
      </c>
      <c r="P608" s="3">
        <v>0.25</v>
      </c>
      <c r="Q608">
        <v>8754.32</v>
      </c>
      <c r="R608">
        <v>6238.9</v>
      </c>
      <c r="S608">
        <v>2515.42</v>
      </c>
      <c r="T608" t="s">
        <v>41</v>
      </c>
      <c r="U608" t="s">
        <v>42</v>
      </c>
      <c r="V608" s="3">
        <f t="shared" si="81"/>
        <v>0.25</v>
      </c>
      <c r="W608">
        <f t="shared" si="82"/>
        <v>8754.3225000000002</v>
      </c>
      <c r="X608">
        <f t="shared" si="83"/>
        <v>2515.4225000000006</v>
      </c>
      <c r="Y608" s="4">
        <f t="shared" si="84"/>
        <v>0.28733491369549163</v>
      </c>
      <c r="Z608">
        <f t="shared" si="85"/>
        <v>6</v>
      </c>
      <c r="AA608">
        <f t="shared" si="86"/>
        <v>2</v>
      </c>
      <c r="AB608">
        <f t="shared" si="87"/>
        <v>2025</v>
      </c>
      <c r="AC608" t="str">
        <f t="shared" si="88"/>
        <v>Unique</v>
      </c>
      <c r="AD608" t="str">
        <f t="shared" si="89"/>
        <v>Clean</v>
      </c>
    </row>
    <row r="609" spans="1:30" x14ac:dyDescent="0.3">
      <c r="A609" t="s">
        <v>1923</v>
      </c>
      <c r="B609" s="2">
        <v>45704</v>
      </c>
      <c r="C609" s="2">
        <v>45710</v>
      </c>
      <c r="D609" t="s">
        <v>1924</v>
      </c>
      <c r="E609" t="s">
        <v>141</v>
      </c>
      <c r="F609" t="s">
        <v>104</v>
      </c>
      <c r="G609" t="s">
        <v>47</v>
      </c>
      <c r="H609" t="s">
        <v>154</v>
      </c>
      <c r="I609" t="s">
        <v>155</v>
      </c>
      <c r="J609" t="s">
        <v>37</v>
      </c>
      <c r="K609" t="s">
        <v>133</v>
      </c>
      <c r="L609" t="s">
        <v>1925</v>
      </c>
      <c r="M609" t="s">
        <v>53</v>
      </c>
      <c r="N609">
        <v>5</v>
      </c>
      <c r="O609">
        <v>954.67</v>
      </c>
      <c r="P609" s="3">
        <v>0.15</v>
      </c>
      <c r="Q609">
        <v>4057.35</v>
      </c>
      <c r="R609">
        <v>2862.03</v>
      </c>
      <c r="S609">
        <v>1195.32</v>
      </c>
      <c r="T609" t="s">
        <v>41</v>
      </c>
      <c r="U609" t="s">
        <v>42</v>
      </c>
      <c r="V609" s="3">
        <f t="shared" si="81"/>
        <v>0.15</v>
      </c>
      <c r="W609">
        <f t="shared" si="82"/>
        <v>4057.3474999999994</v>
      </c>
      <c r="X609">
        <f t="shared" si="83"/>
        <v>1195.3174999999992</v>
      </c>
      <c r="Y609" s="4">
        <f t="shared" si="84"/>
        <v>0.29460565061286947</v>
      </c>
      <c r="Z609">
        <f t="shared" si="85"/>
        <v>6</v>
      </c>
      <c r="AA609">
        <f t="shared" si="86"/>
        <v>2</v>
      </c>
      <c r="AB609">
        <f t="shared" si="87"/>
        <v>2025</v>
      </c>
      <c r="AC609" t="str">
        <f t="shared" si="88"/>
        <v>Unique</v>
      </c>
      <c r="AD609" t="str">
        <f t="shared" si="89"/>
        <v>Clean</v>
      </c>
    </row>
    <row r="610" spans="1:30" x14ac:dyDescent="0.3">
      <c r="A610" t="s">
        <v>1926</v>
      </c>
      <c r="B610" s="2">
        <v>45464</v>
      </c>
      <c r="C610" s="2">
        <v>45466</v>
      </c>
      <c r="D610" t="s">
        <v>1704</v>
      </c>
      <c r="E610" t="s">
        <v>32</v>
      </c>
      <c r="F610" t="s">
        <v>104</v>
      </c>
      <c r="G610" t="s">
        <v>72</v>
      </c>
      <c r="H610" t="s">
        <v>199</v>
      </c>
      <c r="I610" t="s">
        <v>200</v>
      </c>
      <c r="J610" t="s">
        <v>50</v>
      </c>
      <c r="K610" t="s">
        <v>66</v>
      </c>
      <c r="L610" t="s">
        <v>1927</v>
      </c>
      <c r="M610" t="s">
        <v>40</v>
      </c>
      <c r="N610">
        <v>9</v>
      </c>
      <c r="O610">
        <v>2153.75</v>
      </c>
      <c r="P610" s="3">
        <v>0</v>
      </c>
      <c r="Q610">
        <v>19383.75</v>
      </c>
      <c r="R610">
        <v>11667.43</v>
      </c>
      <c r="S610">
        <v>7716.32</v>
      </c>
      <c r="T610" t="s">
        <v>41</v>
      </c>
      <c r="U610" t="s">
        <v>42</v>
      </c>
      <c r="V610" s="3">
        <f t="shared" si="81"/>
        <v>0</v>
      </c>
      <c r="W610">
        <f t="shared" si="82"/>
        <v>19383.75</v>
      </c>
      <c r="X610">
        <f t="shared" si="83"/>
        <v>7716.32</v>
      </c>
      <c r="Y610" s="4">
        <f t="shared" si="84"/>
        <v>0.39808189849745274</v>
      </c>
      <c r="Z610">
        <f t="shared" si="85"/>
        <v>2</v>
      </c>
      <c r="AA610">
        <f t="shared" si="86"/>
        <v>6</v>
      </c>
      <c r="AB610">
        <f t="shared" si="87"/>
        <v>2024</v>
      </c>
      <c r="AC610" t="str">
        <f t="shared" si="88"/>
        <v>Unique</v>
      </c>
      <c r="AD610" t="str">
        <f t="shared" si="89"/>
        <v>Clean</v>
      </c>
    </row>
    <row r="611" spans="1:30" x14ac:dyDescent="0.3">
      <c r="A611" t="s">
        <v>1928</v>
      </c>
      <c r="B611" s="2">
        <v>45665</v>
      </c>
      <c r="C611" s="2">
        <v>45669</v>
      </c>
      <c r="D611" t="s">
        <v>1929</v>
      </c>
      <c r="E611" t="s">
        <v>141</v>
      </c>
      <c r="F611" t="s">
        <v>104</v>
      </c>
      <c r="G611" t="s">
        <v>63</v>
      </c>
      <c r="H611" t="s">
        <v>184</v>
      </c>
      <c r="I611" t="s">
        <v>185</v>
      </c>
      <c r="J611" t="s">
        <v>50</v>
      </c>
      <c r="K611" t="s">
        <v>75</v>
      </c>
      <c r="L611" t="s">
        <v>1930</v>
      </c>
      <c r="M611" t="s">
        <v>68</v>
      </c>
      <c r="N611">
        <v>7</v>
      </c>
      <c r="O611">
        <v>4337.4799999999996</v>
      </c>
      <c r="P611" s="3">
        <v>0</v>
      </c>
      <c r="Q611">
        <v>30362.36</v>
      </c>
      <c r="R611">
        <v>25065.4</v>
      </c>
      <c r="S611">
        <v>5296.96</v>
      </c>
      <c r="T611" t="s">
        <v>41</v>
      </c>
      <c r="U611" t="s">
        <v>42</v>
      </c>
      <c r="V611" s="3">
        <f t="shared" si="81"/>
        <v>0</v>
      </c>
      <c r="W611">
        <f t="shared" si="82"/>
        <v>30362.359999999997</v>
      </c>
      <c r="X611">
        <f t="shared" si="83"/>
        <v>5296.9599999999955</v>
      </c>
      <c r="Y611" s="4">
        <f t="shared" si="84"/>
        <v>0.17445811195177174</v>
      </c>
      <c r="Z611">
        <f t="shared" si="85"/>
        <v>4</v>
      </c>
      <c r="AA611">
        <f t="shared" si="86"/>
        <v>1</v>
      </c>
      <c r="AB611">
        <f t="shared" si="87"/>
        <v>2025</v>
      </c>
      <c r="AC611" t="str">
        <f t="shared" si="88"/>
        <v>Unique</v>
      </c>
      <c r="AD611" t="str">
        <f t="shared" si="89"/>
        <v>Clean</v>
      </c>
    </row>
    <row r="612" spans="1:30" x14ac:dyDescent="0.3">
      <c r="A612" t="s">
        <v>1931</v>
      </c>
      <c r="B612" s="2">
        <v>45432</v>
      </c>
      <c r="C612" s="2">
        <v>45432</v>
      </c>
      <c r="D612" t="s">
        <v>1376</v>
      </c>
      <c r="E612" t="s">
        <v>32</v>
      </c>
      <c r="F612" t="s">
        <v>104</v>
      </c>
      <c r="G612" t="s">
        <v>72</v>
      </c>
      <c r="H612" t="s">
        <v>81</v>
      </c>
      <c r="I612" t="s">
        <v>82</v>
      </c>
      <c r="J612" t="s">
        <v>50</v>
      </c>
      <c r="K612" t="s">
        <v>75</v>
      </c>
      <c r="L612" t="s">
        <v>1932</v>
      </c>
      <c r="M612" t="s">
        <v>68</v>
      </c>
      <c r="N612">
        <v>1</v>
      </c>
      <c r="O612">
        <v>3032.95</v>
      </c>
      <c r="P612" s="3">
        <v>0.1</v>
      </c>
      <c r="Q612">
        <v>2729.65</v>
      </c>
      <c r="R612">
        <v>1715.36</v>
      </c>
      <c r="S612">
        <v>1014.29</v>
      </c>
      <c r="T612" t="s">
        <v>41</v>
      </c>
      <c r="U612" t="s">
        <v>42</v>
      </c>
      <c r="V612" s="3">
        <f t="shared" si="81"/>
        <v>0.1</v>
      </c>
      <c r="W612">
        <f t="shared" si="82"/>
        <v>2729.6549999999997</v>
      </c>
      <c r="X612">
        <f t="shared" si="83"/>
        <v>1014.2949999999998</v>
      </c>
      <c r="Y612" s="4">
        <f t="shared" si="84"/>
        <v>0.37158358840219735</v>
      </c>
      <c r="Z612">
        <f t="shared" si="85"/>
        <v>0</v>
      </c>
      <c r="AA612">
        <f t="shared" si="86"/>
        <v>5</v>
      </c>
      <c r="AB612">
        <f t="shared" si="87"/>
        <v>2024</v>
      </c>
      <c r="AC612" t="str">
        <f t="shared" si="88"/>
        <v>Unique</v>
      </c>
      <c r="AD612" t="str">
        <f t="shared" si="89"/>
        <v>Clean</v>
      </c>
    </row>
    <row r="613" spans="1:30" x14ac:dyDescent="0.3">
      <c r="A613" t="s">
        <v>1933</v>
      </c>
      <c r="B613" s="2">
        <v>45846</v>
      </c>
      <c r="C613" s="2">
        <v>45853</v>
      </c>
      <c r="D613" t="s">
        <v>1934</v>
      </c>
      <c r="E613" t="s">
        <v>71</v>
      </c>
      <c r="F613" t="s">
        <v>46</v>
      </c>
      <c r="G613" t="s">
        <v>34</v>
      </c>
      <c r="H613" t="s">
        <v>35</v>
      </c>
      <c r="I613" t="s">
        <v>36</v>
      </c>
      <c r="J613" t="s">
        <v>37</v>
      </c>
      <c r="K613" t="s">
        <v>162</v>
      </c>
      <c r="L613" t="s">
        <v>1935</v>
      </c>
      <c r="M613" t="s">
        <v>53</v>
      </c>
      <c r="N613">
        <v>8</v>
      </c>
      <c r="O613">
        <v>655.28</v>
      </c>
      <c r="P613" s="3">
        <v>0.1</v>
      </c>
      <c r="Q613">
        <v>4718.0200000000004</v>
      </c>
      <c r="R613">
        <v>3908.23</v>
      </c>
      <c r="S613">
        <v>809.79</v>
      </c>
      <c r="T613" t="s">
        <v>41</v>
      </c>
      <c r="U613" t="s">
        <v>42</v>
      </c>
      <c r="V613" s="3">
        <f t="shared" si="81"/>
        <v>0.1</v>
      </c>
      <c r="W613">
        <f t="shared" si="82"/>
        <v>4718.0159999999996</v>
      </c>
      <c r="X613">
        <f t="shared" si="83"/>
        <v>809.7859999999996</v>
      </c>
      <c r="Y613" s="4">
        <f t="shared" si="84"/>
        <v>0.17163697622051297</v>
      </c>
      <c r="Z613">
        <f t="shared" si="85"/>
        <v>7</v>
      </c>
      <c r="AA613">
        <f t="shared" si="86"/>
        <v>7</v>
      </c>
      <c r="AB613">
        <f t="shared" si="87"/>
        <v>2025</v>
      </c>
      <c r="AC613" t="str">
        <f t="shared" si="88"/>
        <v>Unique</v>
      </c>
      <c r="AD613" t="str">
        <f t="shared" si="89"/>
        <v>Clean</v>
      </c>
    </row>
    <row r="614" spans="1:30" x14ac:dyDescent="0.3">
      <c r="A614" t="s">
        <v>1936</v>
      </c>
      <c r="B614" s="2">
        <v>45753</v>
      </c>
      <c r="C614" s="2">
        <v>45760</v>
      </c>
      <c r="D614" t="s">
        <v>1937</v>
      </c>
      <c r="E614" t="s">
        <v>98</v>
      </c>
      <c r="F614" t="s">
        <v>33</v>
      </c>
      <c r="G614" t="s">
        <v>214</v>
      </c>
      <c r="H614" t="s">
        <v>48</v>
      </c>
      <c r="I614" t="s">
        <v>49</v>
      </c>
      <c r="J614" t="s">
        <v>83</v>
      </c>
      <c r="K614" t="s">
        <v>180</v>
      </c>
      <c r="L614" t="s">
        <v>1938</v>
      </c>
      <c r="M614" t="s">
        <v>68</v>
      </c>
      <c r="N614">
        <v>1</v>
      </c>
      <c r="O614">
        <v>3844.01</v>
      </c>
      <c r="P614" s="3">
        <v>0</v>
      </c>
      <c r="Q614">
        <v>3844.01</v>
      </c>
      <c r="R614">
        <v>2195.79</v>
      </c>
      <c r="S614">
        <v>1648.22</v>
      </c>
      <c r="T614" t="s">
        <v>41</v>
      </c>
      <c r="U614" t="s">
        <v>42</v>
      </c>
      <c r="V614" s="3">
        <f t="shared" si="81"/>
        <v>0</v>
      </c>
      <c r="W614">
        <f t="shared" si="82"/>
        <v>3844.01</v>
      </c>
      <c r="X614">
        <f t="shared" si="83"/>
        <v>1648.2200000000003</v>
      </c>
      <c r="Y614" s="4">
        <f t="shared" si="84"/>
        <v>0.42877619985379856</v>
      </c>
      <c r="Z614">
        <f t="shared" si="85"/>
        <v>7</v>
      </c>
      <c r="AA614">
        <f t="shared" si="86"/>
        <v>4</v>
      </c>
      <c r="AB614">
        <f t="shared" si="87"/>
        <v>2025</v>
      </c>
      <c r="AC614" t="str">
        <f t="shared" si="88"/>
        <v>Unique</v>
      </c>
      <c r="AD614" t="str">
        <f t="shared" si="89"/>
        <v>Warning</v>
      </c>
    </row>
    <row r="615" spans="1:30" x14ac:dyDescent="0.3">
      <c r="A615" t="s">
        <v>1939</v>
      </c>
      <c r="B615" s="2">
        <v>45570</v>
      </c>
      <c r="C615" s="2">
        <v>45575</v>
      </c>
      <c r="D615" t="s">
        <v>1940</v>
      </c>
      <c r="E615" t="s">
        <v>171</v>
      </c>
      <c r="F615" t="s">
        <v>104</v>
      </c>
      <c r="G615" t="s">
        <v>72</v>
      </c>
      <c r="H615" t="s">
        <v>189</v>
      </c>
      <c r="I615" t="s">
        <v>190</v>
      </c>
      <c r="J615" t="s">
        <v>83</v>
      </c>
      <c r="K615" t="s">
        <v>284</v>
      </c>
      <c r="L615" t="s">
        <v>1941</v>
      </c>
      <c r="M615" t="s">
        <v>53</v>
      </c>
      <c r="N615">
        <v>9</v>
      </c>
      <c r="O615">
        <v>3361.3</v>
      </c>
      <c r="P615" s="3">
        <v>0.25</v>
      </c>
      <c r="Q615">
        <v>22688.78</v>
      </c>
      <c r="R615">
        <v>14672.41</v>
      </c>
      <c r="S615">
        <v>8016.37</v>
      </c>
      <c r="T615" t="s">
        <v>41</v>
      </c>
      <c r="U615" t="s">
        <v>42</v>
      </c>
      <c r="V615" s="3">
        <f t="shared" si="81"/>
        <v>0.25</v>
      </c>
      <c r="W615">
        <f t="shared" si="82"/>
        <v>22688.775000000001</v>
      </c>
      <c r="X615">
        <f t="shared" si="83"/>
        <v>8016.3650000000016</v>
      </c>
      <c r="Y615" s="4">
        <f t="shared" si="84"/>
        <v>0.35331854628555315</v>
      </c>
      <c r="Z615">
        <f t="shared" si="85"/>
        <v>5</v>
      </c>
      <c r="AA615">
        <f t="shared" si="86"/>
        <v>10</v>
      </c>
      <c r="AB615">
        <f t="shared" si="87"/>
        <v>2024</v>
      </c>
      <c r="AC615" t="str">
        <f t="shared" si="88"/>
        <v>Unique</v>
      </c>
      <c r="AD615" t="str">
        <f t="shared" si="89"/>
        <v>Clean</v>
      </c>
    </row>
    <row r="616" spans="1:30" x14ac:dyDescent="0.3">
      <c r="A616" t="s">
        <v>1942</v>
      </c>
      <c r="B616" s="2">
        <v>45333</v>
      </c>
      <c r="C616" s="2">
        <v>45341</v>
      </c>
      <c r="D616" t="s">
        <v>1943</v>
      </c>
      <c r="E616" t="s">
        <v>71</v>
      </c>
      <c r="F616" t="s">
        <v>104</v>
      </c>
      <c r="G616" t="s">
        <v>63</v>
      </c>
      <c r="H616" t="s">
        <v>64</v>
      </c>
      <c r="I616" t="s">
        <v>65</v>
      </c>
      <c r="J616" t="s">
        <v>50</v>
      </c>
      <c r="K616" t="s">
        <v>75</v>
      </c>
      <c r="L616" t="s">
        <v>1944</v>
      </c>
      <c r="M616" t="s">
        <v>68</v>
      </c>
      <c r="N616">
        <v>8</v>
      </c>
      <c r="O616">
        <v>3398.32</v>
      </c>
      <c r="P616" s="3">
        <v>0.25</v>
      </c>
      <c r="Q616">
        <v>20389.919999999998</v>
      </c>
      <c r="R616">
        <v>16661.080000000002</v>
      </c>
      <c r="S616">
        <v>3728.84</v>
      </c>
      <c r="T616" t="s">
        <v>111</v>
      </c>
      <c r="U616" t="s">
        <v>77</v>
      </c>
      <c r="V616" s="3">
        <f t="shared" si="81"/>
        <v>0.25</v>
      </c>
      <c r="W616">
        <f t="shared" si="82"/>
        <v>20389.920000000002</v>
      </c>
      <c r="X616">
        <f t="shared" si="83"/>
        <v>3728.84</v>
      </c>
      <c r="Y616" s="4">
        <f t="shared" si="84"/>
        <v>0.18287663708342161</v>
      </c>
      <c r="Z616">
        <f t="shared" si="85"/>
        <v>8</v>
      </c>
      <c r="AA616">
        <f t="shared" si="86"/>
        <v>2</v>
      </c>
      <c r="AB616">
        <f t="shared" si="87"/>
        <v>2024</v>
      </c>
      <c r="AC616" t="str">
        <f t="shared" si="88"/>
        <v>Unique</v>
      </c>
      <c r="AD616" t="str">
        <f t="shared" si="89"/>
        <v>Warning</v>
      </c>
    </row>
    <row r="617" spans="1:30" x14ac:dyDescent="0.3">
      <c r="A617" t="s">
        <v>1945</v>
      </c>
      <c r="B617" s="2">
        <v>45569</v>
      </c>
      <c r="C617" s="2">
        <v>45572</v>
      </c>
      <c r="D617" t="s">
        <v>1946</v>
      </c>
      <c r="E617" t="s">
        <v>127</v>
      </c>
      <c r="F617" t="s">
        <v>99</v>
      </c>
      <c r="G617" t="s">
        <v>63</v>
      </c>
      <c r="H617" t="s">
        <v>194</v>
      </c>
      <c r="I617" t="s">
        <v>195</v>
      </c>
      <c r="J617" t="s">
        <v>37</v>
      </c>
      <c r="K617" t="s">
        <v>57</v>
      </c>
      <c r="L617" t="s">
        <v>1947</v>
      </c>
      <c r="M617" t="s">
        <v>40</v>
      </c>
      <c r="N617">
        <v>2</v>
      </c>
      <c r="O617">
        <v>3144.38</v>
      </c>
      <c r="P617" s="3">
        <v>0.1</v>
      </c>
      <c r="Q617">
        <v>5904.57</v>
      </c>
      <c r="R617">
        <v>4337.79</v>
      </c>
      <c r="S617">
        <v>1322.09</v>
      </c>
      <c r="T617" t="s">
        <v>41</v>
      </c>
      <c r="U617" t="s">
        <v>42</v>
      </c>
      <c r="V617" s="3">
        <f t="shared" si="81"/>
        <v>0.1</v>
      </c>
      <c r="W617">
        <f t="shared" si="82"/>
        <v>5659.884</v>
      </c>
      <c r="X617">
        <f t="shared" si="83"/>
        <v>1322.0940000000001</v>
      </c>
      <c r="Y617" s="4">
        <f t="shared" si="84"/>
        <v>0.23359029973052453</v>
      </c>
      <c r="Z617">
        <f t="shared" si="85"/>
        <v>3</v>
      </c>
      <c r="AA617">
        <f t="shared" si="86"/>
        <v>10</v>
      </c>
      <c r="AB617">
        <f t="shared" si="87"/>
        <v>2024</v>
      </c>
      <c r="AC617" t="str">
        <f t="shared" si="88"/>
        <v>Unique</v>
      </c>
      <c r="AD617" t="str">
        <f t="shared" si="89"/>
        <v>Clean</v>
      </c>
    </row>
    <row r="618" spans="1:30" x14ac:dyDescent="0.3">
      <c r="A618" t="s">
        <v>1948</v>
      </c>
      <c r="B618" s="2">
        <v>45520</v>
      </c>
      <c r="C618" s="2">
        <v>45523</v>
      </c>
      <c r="D618" t="s">
        <v>1949</v>
      </c>
      <c r="E618" t="s">
        <v>274</v>
      </c>
      <c r="F618" t="s">
        <v>33</v>
      </c>
      <c r="G618" t="s">
        <v>63</v>
      </c>
      <c r="H618" t="s">
        <v>64</v>
      </c>
      <c r="I618" t="s">
        <v>65</v>
      </c>
      <c r="J618" t="s">
        <v>37</v>
      </c>
      <c r="K618" t="s">
        <v>38</v>
      </c>
      <c r="L618" t="s">
        <v>1950</v>
      </c>
      <c r="M618" t="s">
        <v>68</v>
      </c>
      <c r="N618">
        <v>6</v>
      </c>
      <c r="O618">
        <v>3925.55</v>
      </c>
      <c r="P618" s="3">
        <v>0.2</v>
      </c>
      <c r="Q618">
        <v>18842.64</v>
      </c>
      <c r="R618">
        <v>11840.58</v>
      </c>
      <c r="S618">
        <v>7002.06</v>
      </c>
      <c r="T618" t="s">
        <v>41</v>
      </c>
      <c r="U618" t="s">
        <v>42</v>
      </c>
      <c r="V618" s="3">
        <f t="shared" si="81"/>
        <v>0.2</v>
      </c>
      <c r="W618">
        <f t="shared" si="82"/>
        <v>18842.640000000003</v>
      </c>
      <c r="X618">
        <f t="shared" si="83"/>
        <v>7002.0600000000031</v>
      </c>
      <c r="Y618" s="4">
        <f t="shared" si="84"/>
        <v>0.37160716332743193</v>
      </c>
      <c r="Z618">
        <f t="shared" si="85"/>
        <v>3</v>
      </c>
      <c r="AA618">
        <f t="shared" si="86"/>
        <v>8</v>
      </c>
      <c r="AB618">
        <f t="shared" si="87"/>
        <v>2024</v>
      </c>
      <c r="AC618" t="str">
        <f t="shared" si="88"/>
        <v>Unique</v>
      </c>
      <c r="AD618" t="str">
        <f t="shared" si="89"/>
        <v>Clean</v>
      </c>
    </row>
    <row r="619" spans="1:30" x14ac:dyDescent="0.3">
      <c r="A619" t="s">
        <v>1951</v>
      </c>
      <c r="B619" s="2">
        <v>45564</v>
      </c>
      <c r="C619" s="2">
        <v>45565</v>
      </c>
      <c r="D619" t="s">
        <v>1952</v>
      </c>
      <c r="E619" t="s">
        <v>45</v>
      </c>
      <c r="F619" t="s">
        <v>104</v>
      </c>
      <c r="G619" t="s">
        <v>63</v>
      </c>
      <c r="H619" t="s">
        <v>64</v>
      </c>
      <c r="I619" t="s">
        <v>65</v>
      </c>
      <c r="J619" t="s">
        <v>83</v>
      </c>
      <c r="K619" t="s">
        <v>180</v>
      </c>
      <c r="L619" t="s">
        <v>1953</v>
      </c>
      <c r="M619" t="s">
        <v>68</v>
      </c>
      <c r="N619">
        <v>9</v>
      </c>
      <c r="O619">
        <v>2741.91</v>
      </c>
      <c r="P619" s="3">
        <v>0</v>
      </c>
      <c r="Q619">
        <v>24677.19</v>
      </c>
      <c r="R619">
        <v>20350.849999999999</v>
      </c>
      <c r="S619">
        <v>4326.34</v>
      </c>
      <c r="T619" t="s">
        <v>41</v>
      </c>
      <c r="U619" t="s">
        <v>42</v>
      </c>
      <c r="V619" s="3">
        <f t="shared" si="81"/>
        <v>0</v>
      </c>
      <c r="W619">
        <f t="shared" si="82"/>
        <v>24677.19</v>
      </c>
      <c r="X619">
        <f t="shared" si="83"/>
        <v>4326.34</v>
      </c>
      <c r="Y619" s="4">
        <f t="shared" si="84"/>
        <v>0.17531736798233513</v>
      </c>
      <c r="Z619">
        <f t="shared" si="85"/>
        <v>1</v>
      </c>
      <c r="AA619">
        <f t="shared" si="86"/>
        <v>9</v>
      </c>
      <c r="AB619">
        <f t="shared" si="87"/>
        <v>2024</v>
      </c>
      <c r="AC619" t="str">
        <f t="shared" si="88"/>
        <v>Unique</v>
      </c>
      <c r="AD619" t="str">
        <f t="shared" si="89"/>
        <v>Clean</v>
      </c>
    </row>
    <row r="620" spans="1:30" x14ac:dyDescent="0.3">
      <c r="A620" t="s">
        <v>1954</v>
      </c>
      <c r="B620" s="2">
        <v>45496</v>
      </c>
      <c r="C620" s="2">
        <v>45503</v>
      </c>
      <c r="D620" t="s">
        <v>1955</v>
      </c>
      <c r="E620" t="s">
        <v>274</v>
      </c>
      <c r="F620" t="s">
        <v>99</v>
      </c>
      <c r="G620" t="s">
        <v>34</v>
      </c>
      <c r="H620" t="s">
        <v>35</v>
      </c>
      <c r="I620" t="s">
        <v>36</v>
      </c>
      <c r="J620" t="s">
        <v>50</v>
      </c>
      <c r="K620" t="s">
        <v>51</v>
      </c>
      <c r="L620" t="s">
        <v>1956</v>
      </c>
      <c r="M620" t="s">
        <v>53</v>
      </c>
      <c r="N620">
        <v>9</v>
      </c>
      <c r="O620">
        <v>1870.11</v>
      </c>
      <c r="P620" s="3">
        <v>0.25</v>
      </c>
      <c r="Q620">
        <v>12623.24</v>
      </c>
      <c r="R620">
        <v>10540.8</v>
      </c>
      <c r="S620">
        <v>2082.44</v>
      </c>
      <c r="T620" t="s">
        <v>164</v>
      </c>
      <c r="U620" t="s">
        <v>77</v>
      </c>
      <c r="V620" s="3">
        <f t="shared" si="81"/>
        <v>0.25</v>
      </c>
      <c r="W620">
        <f t="shared" si="82"/>
        <v>12623.242499999998</v>
      </c>
      <c r="X620">
        <f t="shared" si="83"/>
        <v>2082.4424999999992</v>
      </c>
      <c r="Y620" s="4">
        <f t="shared" si="84"/>
        <v>0.16496890557239943</v>
      </c>
      <c r="Z620">
        <f t="shared" si="85"/>
        <v>7</v>
      </c>
      <c r="AA620">
        <f t="shared" si="86"/>
        <v>7</v>
      </c>
      <c r="AB620">
        <f t="shared" si="87"/>
        <v>2024</v>
      </c>
      <c r="AC620" t="str">
        <f t="shared" si="88"/>
        <v>Unique</v>
      </c>
      <c r="AD620" t="str">
        <f t="shared" si="89"/>
        <v>Warning</v>
      </c>
    </row>
    <row r="621" spans="1:30" x14ac:dyDescent="0.3">
      <c r="A621" t="s">
        <v>1957</v>
      </c>
      <c r="B621" s="2">
        <v>45618</v>
      </c>
      <c r="C621" s="2">
        <v>45623</v>
      </c>
      <c r="D621" t="s">
        <v>1958</v>
      </c>
      <c r="E621" t="s">
        <v>123</v>
      </c>
      <c r="F621" t="s">
        <v>99</v>
      </c>
      <c r="G621" t="s">
        <v>63</v>
      </c>
      <c r="H621" t="s">
        <v>257</v>
      </c>
      <c r="I621" t="s">
        <v>258</v>
      </c>
      <c r="J621" t="s">
        <v>37</v>
      </c>
      <c r="K621" t="s">
        <v>162</v>
      </c>
      <c r="L621" t="s">
        <v>1959</v>
      </c>
      <c r="M621" t="s">
        <v>59</v>
      </c>
      <c r="N621">
        <v>1</v>
      </c>
      <c r="O621">
        <v>4251.26</v>
      </c>
      <c r="P621" s="3">
        <v>0.2</v>
      </c>
      <c r="Q621">
        <v>3401.01</v>
      </c>
      <c r="R621">
        <v>2917.54</v>
      </c>
      <c r="S621">
        <v>483.47</v>
      </c>
      <c r="T621" t="s">
        <v>111</v>
      </c>
      <c r="U621" t="s">
        <v>112</v>
      </c>
      <c r="V621" s="3">
        <f t="shared" si="81"/>
        <v>0.2</v>
      </c>
      <c r="W621">
        <f t="shared" si="82"/>
        <v>3401.0080000000003</v>
      </c>
      <c r="X621">
        <f t="shared" si="83"/>
        <v>483.4680000000003</v>
      </c>
      <c r="Y621" s="4">
        <f t="shared" si="84"/>
        <v>0.14215432601158254</v>
      </c>
      <c r="Z621">
        <f t="shared" si="85"/>
        <v>5</v>
      </c>
      <c r="AA621">
        <f t="shared" si="86"/>
        <v>11</v>
      </c>
      <c r="AB621">
        <f t="shared" si="87"/>
        <v>2024</v>
      </c>
      <c r="AC621" t="str">
        <f t="shared" si="88"/>
        <v>Unique</v>
      </c>
      <c r="AD621" t="str">
        <f t="shared" si="89"/>
        <v>Clean</v>
      </c>
    </row>
    <row r="622" spans="1:30" x14ac:dyDescent="0.3">
      <c r="A622" t="s">
        <v>1960</v>
      </c>
      <c r="B622" s="2">
        <v>45522</v>
      </c>
      <c r="C622" s="2">
        <v>45525</v>
      </c>
      <c r="D622" t="s">
        <v>1961</v>
      </c>
      <c r="E622" t="s">
        <v>80</v>
      </c>
      <c r="F622" t="s">
        <v>33</v>
      </c>
      <c r="G622" t="s">
        <v>34</v>
      </c>
      <c r="H622" t="s">
        <v>145</v>
      </c>
      <c r="I622" t="s">
        <v>146</v>
      </c>
      <c r="J622" t="s">
        <v>83</v>
      </c>
      <c r="K622" t="s">
        <v>284</v>
      </c>
      <c r="L622" t="s">
        <v>1962</v>
      </c>
      <c r="M622" t="s">
        <v>68</v>
      </c>
      <c r="N622">
        <v>9</v>
      </c>
      <c r="O622">
        <v>734.34</v>
      </c>
      <c r="P622" s="3">
        <v>0</v>
      </c>
      <c r="Q622">
        <v>6609.06</v>
      </c>
      <c r="R622">
        <v>4946.78</v>
      </c>
      <c r="S622">
        <v>1662.28</v>
      </c>
      <c r="T622" t="s">
        <v>41</v>
      </c>
      <c r="U622" t="s">
        <v>42</v>
      </c>
      <c r="V622" s="3">
        <f t="shared" si="81"/>
        <v>0</v>
      </c>
      <c r="W622">
        <f t="shared" si="82"/>
        <v>6609.06</v>
      </c>
      <c r="X622">
        <f t="shared" si="83"/>
        <v>1662.2800000000007</v>
      </c>
      <c r="Y622" s="4">
        <f t="shared" si="84"/>
        <v>0.25151534408826681</v>
      </c>
      <c r="Z622">
        <f t="shared" si="85"/>
        <v>3</v>
      </c>
      <c r="AA622">
        <f t="shared" si="86"/>
        <v>8</v>
      </c>
      <c r="AB622">
        <f t="shared" si="87"/>
        <v>2024</v>
      </c>
      <c r="AC622" t="str">
        <f t="shared" si="88"/>
        <v>Unique</v>
      </c>
      <c r="AD622" t="str">
        <f t="shared" si="89"/>
        <v>Clean</v>
      </c>
    </row>
    <row r="623" spans="1:30" x14ac:dyDescent="0.3">
      <c r="A623" t="s">
        <v>1963</v>
      </c>
      <c r="B623" s="2">
        <v>45624</v>
      </c>
      <c r="C623" s="2">
        <v>45632</v>
      </c>
      <c r="D623" t="s">
        <v>1964</v>
      </c>
      <c r="E623" t="s">
        <v>98</v>
      </c>
      <c r="F623" t="s">
        <v>33</v>
      </c>
      <c r="G623" t="s">
        <v>72</v>
      </c>
      <c r="H623" t="s">
        <v>73</v>
      </c>
      <c r="I623" t="s">
        <v>74</v>
      </c>
      <c r="J623" t="s">
        <v>50</v>
      </c>
      <c r="K623" t="s">
        <v>75</v>
      </c>
      <c r="L623" t="s">
        <v>1965</v>
      </c>
      <c r="M623" t="s">
        <v>53</v>
      </c>
      <c r="N623">
        <v>5</v>
      </c>
      <c r="O623">
        <v>1092.8399999999999</v>
      </c>
      <c r="P623" s="3"/>
      <c r="Q623">
        <v>5464.2</v>
      </c>
      <c r="R623">
        <v>3318.09</v>
      </c>
      <c r="S623">
        <v>2146.11</v>
      </c>
      <c r="T623" t="s">
        <v>41</v>
      </c>
      <c r="U623" t="s">
        <v>42</v>
      </c>
      <c r="V623" s="3">
        <f t="shared" si="81"/>
        <v>0</v>
      </c>
      <c r="W623">
        <f t="shared" si="82"/>
        <v>5464.2</v>
      </c>
      <c r="X623">
        <f t="shared" si="83"/>
        <v>2146.1099999999997</v>
      </c>
      <c r="Y623" s="4">
        <f t="shared" si="84"/>
        <v>0.39275831777753373</v>
      </c>
      <c r="Z623">
        <f t="shared" si="85"/>
        <v>8</v>
      </c>
      <c r="AA623">
        <f t="shared" si="86"/>
        <v>11</v>
      </c>
      <c r="AB623">
        <f t="shared" si="87"/>
        <v>2024</v>
      </c>
      <c r="AC623" t="str">
        <f t="shared" si="88"/>
        <v>Unique</v>
      </c>
      <c r="AD623" t="str">
        <f t="shared" si="89"/>
        <v>Clean</v>
      </c>
    </row>
    <row r="624" spans="1:30" x14ac:dyDescent="0.3">
      <c r="A624" t="s">
        <v>1966</v>
      </c>
      <c r="B624" s="2">
        <v>45686</v>
      </c>
      <c r="C624" s="2">
        <v>45694</v>
      </c>
      <c r="D624" t="s">
        <v>1967</v>
      </c>
      <c r="E624" t="s">
        <v>80</v>
      </c>
      <c r="F624" t="s">
        <v>33</v>
      </c>
      <c r="G624" t="s">
        <v>47</v>
      </c>
      <c r="H624" t="s">
        <v>154</v>
      </c>
      <c r="I624" t="s">
        <v>155</v>
      </c>
      <c r="J624" t="s">
        <v>37</v>
      </c>
      <c r="K624" t="s">
        <v>133</v>
      </c>
      <c r="L624" t="s">
        <v>1968</v>
      </c>
      <c r="M624" t="s">
        <v>68</v>
      </c>
      <c r="N624">
        <v>4</v>
      </c>
      <c r="O624">
        <v>2759.01</v>
      </c>
      <c r="P624" s="3">
        <v>0.05</v>
      </c>
      <c r="Q624">
        <v>10484.24</v>
      </c>
      <c r="R624">
        <v>6680.15</v>
      </c>
      <c r="S624">
        <v>3804.09</v>
      </c>
      <c r="T624" t="s">
        <v>41</v>
      </c>
      <c r="U624" t="s">
        <v>42</v>
      </c>
      <c r="V624" s="3">
        <f t="shared" si="81"/>
        <v>0.05</v>
      </c>
      <c r="W624">
        <f t="shared" si="82"/>
        <v>10484.238000000001</v>
      </c>
      <c r="X624">
        <f t="shared" si="83"/>
        <v>3804.0880000000016</v>
      </c>
      <c r="Y624" s="4">
        <f t="shared" si="84"/>
        <v>0.36283876806306775</v>
      </c>
      <c r="Z624">
        <f t="shared" si="85"/>
        <v>8</v>
      </c>
      <c r="AA624">
        <f t="shared" si="86"/>
        <v>1</v>
      </c>
      <c r="AB624">
        <f t="shared" si="87"/>
        <v>2025</v>
      </c>
      <c r="AC624" t="str">
        <f t="shared" si="88"/>
        <v>Unique</v>
      </c>
      <c r="AD624" t="str">
        <f t="shared" si="89"/>
        <v>Clean</v>
      </c>
    </row>
    <row r="625" spans="1:30" x14ac:dyDescent="0.3">
      <c r="A625" t="s">
        <v>1969</v>
      </c>
      <c r="B625" s="2">
        <v>45512</v>
      </c>
      <c r="C625" s="2">
        <v>45518</v>
      </c>
      <c r="D625" t="s">
        <v>1970</v>
      </c>
      <c r="E625" t="s">
        <v>80</v>
      </c>
      <c r="F625" t="s">
        <v>104</v>
      </c>
      <c r="G625" t="s">
        <v>34</v>
      </c>
      <c r="H625" t="s">
        <v>131</v>
      </c>
      <c r="I625" t="s">
        <v>132</v>
      </c>
      <c r="J625" t="s">
        <v>37</v>
      </c>
      <c r="K625" t="s">
        <v>133</v>
      </c>
      <c r="L625" t="s">
        <v>1971</v>
      </c>
      <c r="M625" t="s">
        <v>40</v>
      </c>
      <c r="N625">
        <v>8</v>
      </c>
      <c r="O625">
        <v>1359.19</v>
      </c>
      <c r="P625" s="3">
        <v>0.05</v>
      </c>
      <c r="Q625">
        <v>10329.84</v>
      </c>
      <c r="R625">
        <v>7512.22</v>
      </c>
      <c r="S625">
        <v>2817.62</v>
      </c>
      <c r="T625" t="s">
        <v>41</v>
      </c>
      <c r="U625" t="s">
        <v>42</v>
      </c>
      <c r="V625" s="3">
        <f t="shared" si="81"/>
        <v>0.05</v>
      </c>
      <c r="W625">
        <f t="shared" si="82"/>
        <v>10329.843999999999</v>
      </c>
      <c r="X625">
        <f t="shared" si="83"/>
        <v>2817.6239999999989</v>
      </c>
      <c r="Y625" s="4">
        <f t="shared" si="84"/>
        <v>0.27276539703794161</v>
      </c>
      <c r="Z625">
        <f t="shared" si="85"/>
        <v>6</v>
      </c>
      <c r="AA625">
        <f t="shared" si="86"/>
        <v>8</v>
      </c>
      <c r="AB625">
        <f t="shared" si="87"/>
        <v>2024</v>
      </c>
      <c r="AC625" t="str">
        <f t="shared" si="88"/>
        <v>Unique</v>
      </c>
      <c r="AD625" t="str">
        <f t="shared" si="89"/>
        <v>Clean</v>
      </c>
    </row>
    <row r="626" spans="1:30" x14ac:dyDescent="0.3">
      <c r="A626" t="s">
        <v>1972</v>
      </c>
      <c r="B626" s="2">
        <v>45321</v>
      </c>
      <c r="C626" s="2">
        <v>45323</v>
      </c>
      <c r="D626" t="s">
        <v>1973</v>
      </c>
      <c r="E626" t="s">
        <v>88</v>
      </c>
      <c r="F626" t="s">
        <v>104</v>
      </c>
      <c r="G626" t="s">
        <v>47</v>
      </c>
      <c r="H626" t="s">
        <v>175</v>
      </c>
      <c r="I626" t="s">
        <v>176</v>
      </c>
      <c r="J626" t="s">
        <v>50</v>
      </c>
      <c r="K626" t="s">
        <v>75</v>
      </c>
      <c r="L626" t="s">
        <v>1974</v>
      </c>
      <c r="M626" t="s">
        <v>59</v>
      </c>
      <c r="N626">
        <v>2</v>
      </c>
      <c r="O626">
        <v>4451.03</v>
      </c>
      <c r="P626" s="3">
        <v>0.05</v>
      </c>
      <c r="Q626">
        <v>8456.9599999999991</v>
      </c>
      <c r="R626">
        <v>5462.85</v>
      </c>
      <c r="S626">
        <v>2994.11</v>
      </c>
      <c r="T626" t="s">
        <v>41</v>
      </c>
      <c r="U626" t="s">
        <v>42</v>
      </c>
      <c r="V626" s="3">
        <f t="shared" si="81"/>
        <v>0.05</v>
      </c>
      <c r="W626">
        <f t="shared" si="82"/>
        <v>8456.9569999999985</v>
      </c>
      <c r="X626">
        <f t="shared" si="83"/>
        <v>2994.1069999999982</v>
      </c>
      <c r="Y626" s="4">
        <f t="shared" si="84"/>
        <v>0.35404070282017502</v>
      </c>
      <c r="Z626">
        <f t="shared" si="85"/>
        <v>2</v>
      </c>
      <c r="AA626">
        <f t="shared" si="86"/>
        <v>1</v>
      </c>
      <c r="AB626">
        <f t="shared" si="87"/>
        <v>2024</v>
      </c>
      <c r="AC626" t="str">
        <f t="shared" si="88"/>
        <v>Unique</v>
      </c>
      <c r="AD626" t="str">
        <f t="shared" si="89"/>
        <v>Clean</v>
      </c>
    </row>
    <row r="627" spans="1:30" x14ac:dyDescent="0.3">
      <c r="A627" t="s">
        <v>1975</v>
      </c>
      <c r="B627" s="2">
        <v>45641</v>
      </c>
      <c r="C627" s="2">
        <v>45647</v>
      </c>
      <c r="D627" t="s">
        <v>1976</v>
      </c>
      <c r="E627" t="s">
        <v>171</v>
      </c>
      <c r="F627" t="s">
        <v>99</v>
      </c>
      <c r="G627" t="s">
        <v>72</v>
      </c>
      <c r="H627" t="s">
        <v>35</v>
      </c>
      <c r="I627" t="s">
        <v>118</v>
      </c>
      <c r="J627" t="s">
        <v>50</v>
      </c>
      <c r="K627" t="s">
        <v>75</v>
      </c>
      <c r="L627" t="s">
        <v>1977</v>
      </c>
      <c r="M627" t="s">
        <v>53</v>
      </c>
      <c r="N627">
        <v>3</v>
      </c>
      <c r="O627">
        <v>527.66999999999996</v>
      </c>
      <c r="P627" s="3">
        <v>0.2</v>
      </c>
      <c r="Q627">
        <v>1266.4100000000001</v>
      </c>
      <c r="R627">
        <v>983.92</v>
      </c>
      <c r="S627">
        <v>282.49</v>
      </c>
      <c r="T627" t="s">
        <v>41</v>
      </c>
      <c r="U627" t="s">
        <v>42</v>
      </c>
      <c r="V627" s="3">
        <f t="shared" si="81"/>
        <v>0.2</v>
      </c>
      <c r="W627">
        <f t="shared" si="82"/>
        <v>1266.4079999999999</v>
      </c>
      <c r="X627">
        <f t="shared" si="83"/>
        <v>282.48799999999994</v>
      </c>
      <c r="Y627" s="4">
        <f t="shared" si="84"/>
        <v>0.22306239379410109</v>
      </c>
      <c r="Z627">
        <f t="shared" si="85"/>
        <v>6</v>
      </c>
      <c r="AA627">
        <f t="shared" si="86"/>
        <v>12</v>
      </c>
      <c r="AB627">
        <f t="shared" si="87"/>
        <v>2024</v>
      </c>
      <c r="AC627" t="str">
        <f t="shared" si="88"/>
        <v>Unique</v>
      </c>
      <c r="AD627" t="str">
        <f t="shared" si="89"/>
        <v>Clean</v>
      </c>
    </row>
    <row r="628" spans="1:30" x14ac:dyDescent="0.3">
      <c r="A628" t="s">
        <v>1978</v>
      </c>
      <c r="B628" s="2">
        <v>45812</v>
      </c>
      <c r="C628" s="2">
        <v>45815</v>
      </c>
      <c r="D628" t="s">
        <v>1979</v>
      </c>
      <c r="E628" t="s">
        <v>141</v>
      </c>
      <c r="F628" t="s">
        <v>104</v>
      </c>
      <c r="G628" t="s">
        <v>47</v>
      </c>
      <c r="H628" t="s">
        <v>175</v>
      </c>
      <c r="I628" t="s">
        <v>176</v>
      </c>
      <c r="J628" t="s">
        <v>83</v>
      </c>
      <c r="K628" t="s">
        <v>284</v>
      </c>
      <c r="L628" t="s">
        <v>1980</v>
      </c>
      <c r="M628" t="s">
        <v>68</v>
      </c>
      <c r="N628">
        <v>8</v>
      </c>
      <c r="O628">
        <v>1434.13</v>
      </c>
      <c r="P628" s="3">
        <v>0</v>
      </c>
      <c r="Q628">
        <v>11473.04</v>
      </c>
      <c r="R628">
        <v>8931.33</v>
      </c>
      <c r="S628">
        <v>2541.71</v>
      </c>
      <c r="T628" t="s">
        <v>120</v>
      </c>
      <c r="U628" t="s">
        <v>112</v>
      </c>
      <c r="V628" s="3">
        <f t="shared" si="81"/>
        <v>0</v>
      </c>
      <c r="W628">
        <f t="shared" si="82"/>
        <v>11473.04</v>
      </c>
      <c r="X628">
        <f t="shared" si="83"/>
        <v>2541.7100000000009</v>
      </c>
      <c r="Y628" s="4">
        <f t="shared" si="84"/>
        <v>0.22153762211236086</v>
      </c>
      <c r="Z628">
        <f t="shared" si="85"/>
        <v>3</v>
      </c>
      <c r="AA628">
        <f t="shared" si="86"/>
        <v>6</v>
      </c>
      <c r="AB628">
        <f t="shared" si="87"/>
        <v>2025</v>
      </c>
      <c r="AC628" t="str">
        <f t="shared" si="88"/>
        <v>Unique</v>
      </c>
      <c r="AD628" t="str">
        <f t="shared" si="89"/>
        <v>Clean</v>
      </c>
    </row>
    <row r="629" spans="1:30" x14ac:dyDescent="0.3">
      <c r="A629" t="s">
        <v>1981</v>
      </c>
      <c r="B629" s="2">
        <v>45701</v>
      </c>
      <c r="C629" s="2">
        <v>45709</v>
      </c>
      <c r="D629" t="s">
        <v>1982</v>
      </c>
      <c r="E629" t="s">
        <v>32</v>
      </c>
      <c r="F629" t="s">
        <v>46</v>
      </c>
      <c r="G629" t="s">
        <v>63</v>
      </c>
      <c r="H629" t="s">
        <v>194</v>
      </c>
      <c r="I629" t="s">
        <v>195</v>
      </c>
      <c r="J629" t="s">
        <v>83</v>
      </c>
      <c r="K629" t="s">
        <v>180</v>
      </c>
      <c r="L629" t="s">
        <v>1983</v>
      </c>
      <c r="M629" t="s">
        <v>40</v>
      </c>
      <c r="N629">
        <v>2</v>
      </c>
      <c r="O629">
        <v>2360.02</v>
      </c>
      <c r="P629" s="3">
        <v>0.15</v>
      </c>
      <c r="Q629">
        <v>4012.03</v>
      </c>
      <c r="R629">
        <v>3142.92</v>
      </c>
      <c r="S629">
        <v>869.11</v>
      </c>
      <c r="T629" t="s">
        <v>120</v>
      </c>
      <c r="U629" t="s">
        <v>77</v>
      </c>
      <c r="V629" s="3">
        <f t="shared" si="81"/>
        <v>0.15</v>
      </c>
      <c r="W629">
        <f t="shared" si="82"/>
        <v>4012.0339999999997</v>
      </c>
      <c r="X629">
        <f t="shared" si="83"/>
        <v>869.11399999999958</v>
      </c>
      <c r="Y629" s="4">
        <f t="shared" si="84"/>
        <v>0.21662677833737193</v>
      </c>
      <c r="Z629">
        <f t="shared" si="85"/>
        <v>8</v>
      </c>
      <c r="AA629">
        <f t="shared" si="86"/>
        <v>2</v>
      </c>
      <c r="AB629">
        <f t="shared" si="87"/>
        <v>2025</v>
      </c>
      <c r="AC629" t="str">
        <f t="shared" si="88"/>
        <v>Unique</v>
      </c>
      <c r="AD629" t="str">
        <f t="shared" si="89"/>
        <v>Warning</v>
      </c>
    </row>
    <row r="630" spans="1:30" x14ac:dyDescent="0.3">
      <c r="A630" t="s">
        <v>1984</v>
      </c>
      <c r="B630" s="2">
        <v>45935</v>
      </c>
      <c r="C630" s="2">
        <v>45942</v>
      </c>
      <c r="D630" t="s">
        <v>1985</v>
      </c>
      <c r="E630" t="s">
        <v>71</v>
      </c>
      <c r="F630" t="s">
        <v>104</v>
      </c>
      <c r="G630" t="s">
        <v>47</v>
      </c>
      <c r="H630" t="s">
        <v>238</v>
      </c>
      <c r="I630" t="s">
        <v>239</v>
      </c>
      <c r="J630" t="s">
        <v>83</v>
      </c>
      <c r="K630" t="s">
        <v>84</v>
      </c>
      <c r="L630" t="s">
        <v>1986</v>
      </c>
      <c r="M630" t="s">
        <v>53</v>
      </c>
      <c r="N630">
        <v>7</v>
      </c>
      <c r="O630">
        <v>806.67</v>
      </c>
      <c r="P630" s="3">
        <v>0.05</v>
      </c>
      <c r="Q630">
        <v>5364.36</v>
      </c>
      <c r="R630">
        <v>4391.29</v>
      </c>
      <c r="S630">
        <v>973.07</v>
      </c>
      <c r="T630" t="s">
        <v>41</v>
      </c>
      <c r="U630" t="s">
        <v>42</v>
      </c>
      <c r="V630" s="3">
        <f t="shared" si="81"/>
        <v>0.05</v>
      </c>
      <c r="W630">
        <f t="shared" si="82"/>
        <v>5364.3554999999997</v>
      </c>
      <c r="X630">
        <f t="shared" si="83"/>
        <v>973.0654999999997</v>
      </c>
      <c r="Y630" s="4">
        <f t="shared" si="84"/>
        <v>0.18139467080434915</v>
      </c>
      <c r="Z630">
        <f t="shared" si="85"/>
        <v>7</v>
      </c>
      <c r="AA630">
        <f t="shared" si="86"/>
        <v>10</v>
      </c>
      <c r="AB630">
        <f t="shared" si="87"/>
        <v>2025</v>
      </c>
      <c r="AC630" t="str">
        <f t="shared" si="88"/>
        <v>Unique</v>
      </c>
      <c r="AD630" t="str">
        <f t="shared" si="89"/>
        <v>Clean</v>
      </c>
    </row>
    <row r="631" spans="1:30" x14ac:dyDescent="0.3">
      <c r="A631" t="s">
        <v>1987</v>
      </c>
      <c r="B631" s="2">
        <v>45910</v>
      </c>
      <c r="C631" s="2">
        <v>45914</v>
      </c>
      <c r="D631" t="s">
        <v>1988</v>
      </c>
      <c r="E631" t="s">
        <v>62</v>
      </c>
      <c r="F631" t="s">
        <v>104</v>
      </c>
      <c r="G631" t="s">
        <v>72</v>
      </c>
      <c r="H631" t="s">
        <v>189</v>
      </c>
      <c r="I631" t="s">
        <v>190</v>
      </c>
      <c r="J631" t="s">
        <v>50</v>
      </c>
      <c r="K631" t="s">
        <v>51</v>
      </c>
      <c r="L631" t="s">
        <v>1989</v>
      </c>
      <c r="M631" t="s">
        <v>53</v>
      </c>
      <c r="N631">
        <v>3</v>
      </c>
      <c r="O631">
        <v>4198.46</v>
      </c>
      <c r="P631" s="3">
        <v>0.15</v>
      </c>
      <c r="Q631">
        <v>10706.07</v>
      </c>
      <c r="R631">
        <v>5927.1</v>
      </c>
      <c r="S631">
        <v>4778.97</v>
      </c>
      <c r="T631" t="s">
        <v>41</v>
      </c>
      <c r="U631" t="s">
        <v>42</v>
      </c>
      <c r="V631" s="3">
        <f t="shared" si="81"/>
        <v>0.15</v>
      </c>
      <c r="W631">
        <f t="shared" si="82"/>
        <v>10706.073</v>
      </c>
      <c r="X631">
        <f t="shared" si="83"/>
        <v>4778.973</v>
      </c>
      <c r="Y631" s="4">
        <f t="shared" si="84"/>
        <v>0.44637963892082555</v>
      </c>
      <c r="Z631">
        <f t="shared" si="85"/>
        <v>4</v>
      </c>
      <c r="AA631">
        <f t="shared" si="86"/>
        <v>9</v>
      </c>
      <c r="AB631">
        <f t="shared" si="87"/>
        <v>2025</v>
      </c>
      <c r="AC631" t="str">
        <f t="shared" si="88"/>
        <v>Unique</v>
      </c>
      <c r="AD631" t="str">
        <f t="shared" si="89"/>
        <v>Clean</v>
      </c>
    </row>
    <row r="632" spans="1:30" x14ac:dyDescent="0.3">
      <c r="A632" t="s">
        <v>1990</v>
      </c>
      <c r="B632" s="2">
        <v>45391</v>
      </c>
      <c r="C632" s="2">
        <v>45392</v>
      </c>
      <c r="D632" t="s">
        <v>1991</v>
      </c>
      <c r="E632" t="s">
        <v>123</v>
      </c>
      <c r="F632" t="s">
        <v>99</v>
      </c>
      <c r="G632" t="s">
        <v>47</v>
      </c>
      <c r="H632" t="s">
        <v>175</v>
      </c>
      <c r="I632" t="s">
        <v>176</v>
      </c>
      <c r="J632" t="s">
        <v>37</v>
      </c>
      <c r="K632" t="s">
        <v>38</v>
      </c>
      <c r="L632" t="s">
        <v>1992</v>
      </c>
      <c r="M632" t="s">
        <v>68</v>
      </c>
      <c r="N632">
        <v>4</v>
      </c>
      <c r="O632">
        <v>3047.05</v>
      </c>
      <c r="P632" s="3">
        <v>0.1</v>
      </c>
      <c r="Q632">
        <v>10969.38</v>
      </c>
      <c r="R632">
        <v>9254.4599999999991</v>
      </c>
      <c r="S632">
        <v>1714.92</v>
      </c>
      <c r="T632" t="s">
        <v>41</v>
      </c>
      <c r="U632" t="s">
        <v>42</v>
      </c>
      <c r="V632" s="3">
        <f t="shared" si="81"/>
        <v>0.1</v>
      </c>
      <c r="W632">
        <f t="shared" si="82"/>
        <v>10969.380000000001</v>
      </c>
      <c r="X632">
        <f t="shared" si="83"/>
        <v>1714.9200000000019</v>
      </c>
      <c r="Y632" s="4">
        <f t="shared" si="84"/>
        <v>0.15633700354988173</v>
      </c>
      <c r="Z632">
        <f t="shared" si="85"/>
        <v>1</v>
      </c>
      <c r="AA632">
        <f t="shared" si="86"/>
        <v>4</v>
      </c>
      <c r="AB632">
        <f t="shared" si="87"/>
        <v>2024</v>
      </c>
      <c r="AC632" t="str">
        <f t="shared" si="88"/>
        <v>Unique</v>
      </c>
      <c r="AD632" t="str">
        <f t="shared" si="89"/>
        <v>Clean</v>
      </c>
    </row>
    <row r="633" spans="1:30" x14ac:dyDescent="0.3">
      <c r="A633" t="s">
        <v>1993</v>
      </c>
      <c r="B633" s="2">
        <v>45392</v>
      </c>
      <c r="C633" s="2">
        <v>45397</v>
      </c>
      <c r="D633" t="s">
        <v>1994</v>
      </c>
      <c r="E633" t="s">
        <v>137</v>
      </c>
      <c r="F633" t="s">
        <v>104</v>
      </c>
      <c r="G633" t="s">
        <v>72</v>
      </c>
      <c r="H633" t="s">
        <v>35</v>
      </c>
      <c r="I633" t="s">
        <v>118</v>
      </c>
      <c r="J633" t="s">
        <v>50</v>
      </c>
      <c r="K633" t="s">
        <v>75</v>
      </c>
      <c r="L633" t="s">
        <v>1995</v>
      </c>
      <c r="M633" t="s">
        <v>68</v>
      </c>
      <c r="N633">
        <v>8</v>
      </c>
      <c r="O633">
        <v>4362.4799999999996</v>
      </c>
      <c r="P633" s="3">
        <v>0.1</v>
      </c>
      <c r="Q633">
        <v>31409.86</v>
      </c>
      <c r="R633">
        <v>22523.54</v>
      </c>
      <c r="S633">
        <v>8886.32</v>
      </c>
      <c r="T633" t="s">
        <v>41</v>
      </c>
      <c r="U633" t="s">
        <v>42</v>
      </c>
      <c r="V633" s="3">
        <f t="shared" si="81"/>
        <v>0.1</v>
      </c>
      <c r="W633">
        <f t="shared" si="82"/>
        <v>31409.855999999996</v>
      </c>
      <c r="X633">
        <f t="shared" si="83"/>
        <v>8886.3159999999953</v>
      </c>
      <c r="Y633" s="4">
        <f t="shared" si="84"/>
        <v>0.2829148914277097</v>
      </c>
      <c r="Z633">
        <f t="shared" si="85"/>
        <v>5</v>
      </c>
      <c r="AA633">
        <f t="shared" si="86"/>
        <v>4</v>
      </c>
      <c r="AB633">
        <f t="shared" si="87"/>
        <v>2024</v>
      </c>
      <c r="AC633" t="str">
        <f t="shared" si="88"/>
        <v>Unique</v>
      </c>
      <c r="AD633" t="str">
        <f t="shared" si="89"/>
        <v>Clean</v>
      </c>
    </row>
    <row r="634" spans="1:30" x14ac:dyDescent="0.3">
      <c r="A634" t="s">
        <v>1996</v>
      </c>
      <c r="B634" s="2">
        <v>45762</v>
      </c>
      <c r="C634" s="2">
        <v>45763</v>
      </c>
      <c r="D634" t="s">
        <v>1997</v>
      </c>
      <c r="E634" t="s">
        <v>141</v>
      </c>
      <c r="F634" t="s">
        <v>46</v>
      </c>
      <c r="G634" t="s">
        <v>63</v>
      </c>
      <c r="H634" t="s">
        <v>184</v>
      </c>
      <c r="I634" t="s">
        <v>185</v>
      </c>
      <c r="J634" t="s">
        <v>50</v>
      </c>
      <c r="K634" t="s">
        <v>66</v>
      </c>
      <c r="L634" t="s">
        <v>1998</v>
      </c>
      <c r="M634" t="s">
        <v>59</v>
      </c>
      <c r="N634">
        <v>5</v>
      </c>
      <c r="O634">
        <v>2850.53</v>
      </c>
      <c r="P634" s="3">
        <v>0</v>
      </c>
      <c r="Q634">
        <v>14252.65</v>
      </c>
      <c r="R634">
        <v>11558.31</v>
      </c>
      <c r="S634">
        <v>2694.34</v>
      </c>
      <c r="T634" t="s">
        <v>41</v>
      </c>
      <c r="U634" t="s">
        <v>42</v>
      </c>
      <c r="V634" s="3">
        <f t="shared" si="81"/>
        <v>0</v>
      </c>
      <c r="W634">
        <f t="shared" si="82"/>
        <v>14252.650000000001</v>
      </c>
      <c r="X634">
        <f t="shared" si="83"/>
        <v>2694.340000000002</v>
      </c>
      <c r="Y634" s="4">
        <f t="shared" si="84"/>
        <v>0.18904133617257154</v>
      </c>
      <c r="Z634">
        <f t="shared" si="85"/>
        <v>1</v>
      </c>
      <c r="AA634">
        <f t="shared" si="86"/>
        <v>4</v>
      </c>
      <c r="AB634">
        <f t="shared" si="87"/>
        <v>2025</v>
      </c>
      <c r="AC634" t="str">
        <f t="shared" si="88"/>
        <v>Unique</v>
      </c>
      <c r="AD634" t="str">
        <f t="shared" si="89"/>
        <v>Clean</v>
      </c>
    </row>
    <row r="635" spans="1:30" x14ac:dyDescent="0.3">
      <c r="A635" t="s">
        <v>1999</v>
      </c>
      <c r="B635" s="2">
        <v>45765</v>
      </c>
      <c r="C635" s="2">
        <v>45767</v>
      </c>
      <c r="D635" t="s">
        <v>2000</v>
      </c>
      <c r="E635" t="s">
        <v>137</v>
      </c>
      <c r="F635" t="s">
        <v>46</v>
      </c>
      <c r="G635" t="s">
        <v>63</v>
      </c>
      <c r="H635" t="s">
        <v>257</v>
      </c>
      <c r="I635" t="s">
        <v>258</v>
      </c>
      <c r="J635" t="s">
        <v>83</v>
      </c>
      <c r="K635" t="s">
        <v>84</v>
      </c>
      <c r="L635" t="s">
        <v>2001</v>
      </c>
      <c r="M635" t="s">
        <v>40</v>
      </c>
      <c r="N635">
        <v>1</v>
      </c>
      <c r="O635">
        <v>1626.08</v>
      </c>
      <c r="P635" s="3">
        <v>0.15</v>
      </c>
      <c r="Q635">
        <v>1382.17</v>
      </c>
      <c r="R635">
        <v>810.03</v>
      </c>
      <c r="S635">
        <v>572.14</v>
      </c>
      <c r="T635" t="s">
        <v>41</v>
      </c>
      <c r="U635" t="s">
        <v>42</v>
      </c>
      <c r="V635" s="3">
        <f t="shared" si="81"/>
        <v>0.15</v>
      </c>
      <c r="W635">
        <f t="shared" si="82"/>
        <v>1382.1679999999999</v>
      </c>
      <c r="X635">
        <f t="shared" si="83"/>
        <v>572.13799999999992</v>
      </c>
      <c r="Y635" s="4">
        <f t="shared" si="84"/>
        <v>0.4139424440444287</v>
      </c>
      <c r="Z635">
        <f t="shared" si="85"/>
        <v>2</v>
      </c>
      <c r="AA635">
        <f t="shared" si="86"/>
        <v>4</v>
      </c>
      <c r="AB635">
        <f t="shared" si="87"/>
        <v>2025</v>
      </c>
      <c r="AC635" t="str">
        <f t="shared" si="88"/>
        <v>Unique</v>
      </c>
      <c r="AD635" t="str">
        <f t="shared" si="89"/>
        <v>Clean</v>
      </c>
    </row>
    <row r="636" spans="1:30" x14ac:dyDescent="0.3">
      <c r="A636" t="s">
        <v>2002</v>
      </c>
      <c r="B636" s="2">
        <v>45668</v>
      </c>
      <c r="C636" s="2">
        <v>45669</v>
      </c>
      <c r="D636" t="s">
        <v>2003</v>
      </c>
      <c r="E636" t="s">
        <v>98</v>
      </c>
      <c r="F636" t="s">
        <v>33</v>
      </c>
      <c r="G636" t="s">
        <v>63</v>
      </c>
      <c r="H636" t="s">
        <v>64</v>
      </c>
      <c r="I636" t="s">
        <v>65</v>
      </c>
      <c r="J636" t="s">
        <v>50</v>
      </c>
      <c r="K636" t="s">
        <v>75</v>
      </c>
      <c r="L636" t="s">
        <v>2004</v>
      </c>
      <c r="M636" t="s">
        <v>40</v>
      </c>
      <c r="N636">
        <v>4</v>
      </c>
      <c r="O636">
        <v>2427.15</v>
      </c>
      <c r="P636" s="3">
        <v>0.05</v>
      </c>
      <c r="Q636">
        <v>9223.17</v>
      </c>
      <c r="R636">
        <v>5103.7</v>
      </c>
      <c r="S636">
        <v>4119.47</v>
      </c>
      <c r="T636" t="s">
        <v>41</v>
      </c>
      <c r="U636" t="s">
        <v>42</v>
      </c>
      <c r="V636" s="3">
        <f t="shared" si="81"/>
        <v>0.05</v>
      </c>
      <c r="W636">
        <f t="shared" si="82"/>
        <v>9223.17</v>
      </c>
      <c r="X636">
        <f t="shared" si="83"/>
        <v>4119.47</v>
      </c>
      <c r="Y636" s="4">
        <f t="shared" si="84"/>
        <v>0.44664361602355807</v>
      </c>
      <c r="Z636">
        <f t="shared" si="85"/>
        <v>1</v>
      </c>
      <c r="AA636">
        <f t="shared" si="86"/>
        <v>1</v>
      </c>
      <c r="AB636">
        <f t="shared" si="87"/>
        <v>2025</v>
      </c>
      <c r="AC636" t="str">
        <f t="shared" si="88"/>
        <v>Unique</v>
      </c>
      <c r="AD636" t="str">
        <f t="shared" si="89"/>
        <v>Clean</v>
      </c>
    </row>
    <row r="637" spans="1:30" x14ac:dyDescent="0.3">
      <c r="A637" t="s">
        <v>2005</v>
      </c>
      <c r="B637" s="2">
        <v>45432</v>
      </c>
      <c r="C637" s="2">
        <v>45437</v>
      </c>
      <c r="D637" t="s">
        <v>2006</v>
      </c>
      <c r="E637" t="s">
        <v>45</v>
      </c>
      <c r="F637" t="s">
        <v>99</v>
      </c>
      <c r="G637" t="s">
        <v>63</v>
      </c>
      <c r="H637" t="s">
        <v>93</v>
      </c>
      <c r="I637" t="s">
        <v>94</v>
      </c>
      <c r="J637" t="s">
        <v>50</v>
      </c>
      <c r="K637" t="s">
        <v>75</v>
      </c>
      <c r="L637" t="s">
        <v>2007</v>
      </c>
      <c r="M637" t="s">
        <v>53</v>
      </c>
      <c r="N637">
        <v>7</v>
      </c>
      <c r="O637">
        <v>3122.85</v>
      </c>
      <c r="P637" s="3">
        <v>0.25</v>
      </c>
      <c r="Q637">
        <v>16394.96</v>
      </c>
      <c r="R637">
        <v>10404.17</v>
      </c>
      <c r="S637">
        <v>5990.79</v>
      </c>
      <c r="T637" t="s">
        <v>41</v>
      </c>
      <c r="U637" t="s">
        <v>42</v>
      </c>
      <c r="V637" s="3">
        <f t="shared" si="81"/>
        <v>0.25</v>
      </c>
      <c r="W637">
        <f t="shared" si="82"/>
        <v>16394.962500000001</v>
      </c>
      <c r="X637">
        <f t="shared" si="83"/>
        <v>5990.7925000000014</v>
      </c>
      <c r="Y637" s="4">
        <f t="shared" si="84"/>
        <v>0.36540446493854445</v>
      </c>
      <c r="Z637">
        <f t="shared" si="85"/>
        <v>5</v>
      </c>
      <c r="AA637">
        <f t="shared" si="86"/>
        <v>5</v>
      </c>
      <c r="AB637">
        <f t="shared" si="87"/>
        <v>2024</v>
      </c>
      <c r="AC637" t="str">
        <f t="shared" si="88"/>
        <v>Unique</v>
      </c>
      <c r="AD637" t="str">
        <f t="shared" si="89"/>
        <v>Clean</v>
      </c>
    </row>
    <row r="638" spans="1:30" x14ac:dyDescent="0.3">
      <c r="A638" t="s">
        <v>2008</v>
      </c>
      <c r="B638" s="2">
        <v>45567</v>
      </c>
      <c r="C638" s="2">
        <v>45574</v>
      </c>
      <c r="D638" t="s">
        <v>2009</v>
      </c>
      <c r="E638" t="s">
        <v>71</v>
      </c>
      <c r="F638" t="s">
        <v>33</v>
      </c>
      <c r="G638" t="s">
        <v>63</v>
      </c>
      <c r="H638" t="s">
        <v>257</v>
      </c>
      <c r="I638" t="s">
        <v>258</v>
      </c>
      <c r="J638" t="s">
        <v>37</v>
      </c>
      <c r="K638" t="s">
        <v>38</v>
      </c>
      <c r="L638" t="s">
        <v>2010</v>
      </c>
      <c r="M638" t="s">
        <v>68</v>
      </c>
      <c r="N638">
        <v>8</v>
      </c>
      <c r="O638">
        <v>1910.31</v>
      </c>
      <c r="P638" s="3">
        <v>0.15</v>
      </c>
      <c r="Q638">
        <v>12990.11</v>
      </c>
      <c r="R638">
        <v>10200.799999999999</v>
      </c>
      <c r="S638">
        <v>2789.31</v>
      </c>
      <c r="T638" t="s">
        <v>41</v>
      </c>
      <c r="U638" t="s">
        <v>42</v>
      </c>
      <c r="V638" s="3">
        <f t="shared" si="81"/>
        <v>0.15</v>
      </c>
      <c r="W638">
        <f t="shared" si="82"/>
        <v>12990.108</v>
      </c>
      <c r="X638">
        <f t="shared" si="83"/>
        <v>2789.3080000000009</v>
      </c>
      <c r="Y638" s="4">
        <f t="shared" si="84"/>
        <v>0.2147255434673831</v>
      </c>
      <c r="Z638">
        <f t="shared" si="85"/>
        <v>7</v>
      </c>
      <c r="AA638">
        <f t="shared" si="86"/>
        <v>10</v>
      </c>
      <c r="AB638">
        <f t="shared" si="87"/>
        <v>2024</v>
      </c>
      <c r="AC638" t="str">
        <f t="shared" si="88"/>
        <v>Unique</v>
      </c>
      <c r="AD638" t="str">
        <f t="shared" si="89"/>
        <v>Clean</v>
      </c>
    </row>
    <row r="639" spans="1:30" x14ac:dyDescent="0.3">
      <c r="A639" t="s">
        <v>2011</v>
      </c>
      <c r="B639" s="2">
        <v>45438</v>
      </c>
      <c r="C639" s="2">
        <v>45438</v>
      </c>
      <c r="D639" t="s">
        <v>2012</v>
      </c>
      <c r="E639" t="s">
        <v>127</v>
      </c>
      <c r="F639" t="s">
        <v>46</v>
      </c>
      <c r="G639" t="s">
        <v>72</v>
      </c>
      <c r="H639" t="s">
        <v>199</v>
      </c>
      <c r="I639" t="s">
        <v>200</v>
      </c>
      <c r="J639" t="s">
        <v>83</v>
      </c>
      <c r="K639" t="s">
        <v>89</v>
      </c>
      <c r="L639" t="s">
        <v>2013</v>
      </c>
      <c r="M639" t="s">
        <v>59</v>
      </c>
      <c r="N639">
        <v>2</v>
      </c>
      <c r="O639">
        <v>3192.47</v>
      </c>
      <c r="P639" s="3">
        <v>0.2</v>
      </c>
      <c r="Q639">
        <v>5107.95</v>
      </c>
      <c r="R639">
        <v>3133.08</v>
      </c>
      <c r="S639">
        <v>1974.87</v>
      </c>
      <c r="T639" t="s">
        <v>41</v>
      </c>
      <c r="U639" t="s">
        <v>42</v>
      </c>
      <c r="V639" s="3">
        <f t="shared" si="81"/>
        <v>0.2</v>
      </c>
      <c r="W639">
        <f t="shared" si="82"/>
        <v>5107.9520000000002</v>
      </c>
      <c r="X639">
        <f t="shared" si="83"/>
        <v>1974.8720000000003</v>
      </c>
      <c r="Y639" s="4">
        <f t="shared" si="84"/>
        <v>0.38662696908663202</v>
      </c>
      <c r="Z639">
        <f t="shared" si="85"/>
        <v>0</v>
      </c>
      <c r="AA639">
        <f t="shared" si="86"/>
        <v>5</v>
      </c>
      <c r="AB639">
        <f t="shared" si="87"/>
        <v>2024</v>
      </c>
      <c r="AC639" t="str">
        <f t="shared" si="88"/>
        <v>Unique</v>
      </c>
      <c r="AD639" t="str">
        <f t="shared" si="89"/>
        <v>Clean</v>
      </c>
    </row>
    <row r="640" spans="1:30" x14ac:dyDescent="0.3">
      <c r="A640" t="s">
        <v>2014</v>
      </c>
      <c r="B640" s="2">
        <v>45317</v>
      </c>
      <c r="C640" s="2">
        <v>45322</v>
      </c>
      <c r="D640" t="s">
        <v>2015</v>
      </c>
      <c r="E640" t="s">
        <v>32</v>
      </c>
      <c r="F640" t="s">
        <v>99</v>
      </c>
      <c r="G640" t="s">
        <v>63</v>
      </c>
      <c r="H640" t="s">
        <v>194</v>
      </c>
      <c r="I640" t="s">
        <v>195</v>
      </c>
      <c r="J640" t="s">
        <v>37</v>
      </c>
      <c r="K640" t="s">
        <v>133</v>
      </c>
      <c r="L640" t="s">
        <v>2016</v>
      </c>
      <c r="M640" t="s">
        <v>40</v>
      </c>
      <c r="N640">
        <v>3</v>
      </c>
      <c r="O640">
        <v>3224.32</v>
      </c>
      <c r="P640" s="3">
        <v>0.2</v>
      </c>
      <c r="Q640">
        <v>7738.37</v>
      </c>
      <c r="R640">
        <v>4626.8500000000004</v>
      </c>
      <c r="S640">
        <v>3111.52</v>
      </c>
      <c r="T640" t="s">
        <v>164</v>
      </c>
      <c r="U640" t="s">
        <v>112</v>
      </c>
      <c r="V640" s="3">
        <f t="shared" si="81"/>
        <v>0.2</v>
      </c>
      <c r="W640">
        <f t="shared" si="82"/>
        <v>7738.3680000000013</v>
      </c>
      <c r="X640">
        <f t="shared" si="83"/>
        <v>3111.5180000000009</v>
      </c>
      <c r="Y640" s="4">
        <f t="shared" si="84"/>
        <v>0.40208969126306743</v>
      </c>
      <c r="Z640">
        <f t="shared" si="85"/>
        <v>5</v>
      </c>
      <c r="AA640">
        <f t="shared" si="86"/>
        <v>1</v>
      </c>
      <c r="AB640">
        <f t="shared" si="87"/>
        <v>2024</v>
      </c>
      <c r="AC640" t="str">
        <f t="shared" si="88"/>
        <v>Unique</v>
      </c>
      <c r="AD640" t="str">
        <f t="shared" si="89"/>
        <v>Warning</v>
      </c>
    </row>
    <row r="641" spans="1:30" x14ac:dyDescent="0.3">
      <c r="A641" t="s">
        <v>2017</v>
      </c>
      <c r="B641" s="2">
        <v>45653</v>
      </c>
      <c r="C641" s="2">
        <v>45657</v>
      </c>
      <c r="D641" t="s">
        <v>2018</v>
      </c>
      <c r="E641" t="s">
        <v>56</v>
      </c>
      <c r="F641" t="s">
        <v>46</v>
      </c>
      <c r="G641" t="s">
        <v>47</v>
      </c>
      <c r="H641" t="s">
        <v>48</v>
      </c>
      <c r="I641" t="s">
        <v>49</v>
      </c>
      <c r="J641" t="s">
        <v>50</v>
      </c>
      <c r="K641" t="s">
        <v>75</v>
      </c>
      <c r="L641" t="s">
        <v>2019</v>
      </c>
      <c r="M641" t="s">
        <v>40</v>
      </c>
      <c r="N641">
        <v>1</v>
      </c>
      <c r="O641">
        <v>1594.7</v>
      </c>
      <c r="P641" s="3">
        <v>0.05</v>
      </c>
      <c r="Q641">
        <v>1514.96</v>
      </c>
      <c r="R641">
        <v>1046.17</v>
      </c>
      <c r="S641">
        <v>468.79</v>
      </c>
      <c r="T641" t="s">
        <v>41</v>
      </c>
      <c r="U641" t="s">
        <v>42</v>
      </c>
      <c r="V641" s="3">
        <f t="shared" si="81"/>
        <v>0.05</v>
      </c>
      <c r="W641">
        <f t="shared" si="82"/>
        <v>1514.9649999999999</v>
      </c>
      <c r="X641">
        <f t="shared" si="83"/>
        <v>468.79499999999985</v>
      </c>
      <c r="Y641" s="4">
        <f t="shared" si="84"/>
        <v>0.3094427924077453</v>
      </c>
      <c r="Z641">
        <f t="shared" si="85"/>
        <v>4</v>
      </c>
      <c r="AA641">
        <f t="shared" si="86"/>
        <v>12</v>
      </c>
      <c r="AB641">
        <f t="shared" si="87"/>
        <v>2024</v>
      </c>
      <c r="AC641" t="str">
        <f t="shared" si="88"/>
        <v>Unique</v>
      </c>
      <c r="AD641" t="str">
        <f t="shared" si="89"/>
        <v>Clean</v>
      </c>
    </row>
    <row r="642" spans="1:30" x14ac:dyDescent="0.3">
      <c r="A642" t="s">
        <v>2020</v>
      </c>
      <c r="B642" s="2">
        <v>45671</v>
      </c>
      <c r="C642" s="2">
        <v>45674</v>
      </c>
      <c r="D642" t="s">
        <v>2021</v>
      </c>
      <c r="E642" t="s">
        <v>80</v>
      </c>
      <c r="F642" t="s">
        <v>33</v>
      </c>
      <c r="G642" t="s">
        <v>72</v>
      </c>
      <c r="H642" t="s">
        <v>199</v>
      </c>
      <c r="I642" t="s">
        <v>200</v>
      </c>
      <c r="J642" t="s">
        <v>37</v>
      </c>
      <c r="K642" t="s">
        <v>133</v>
      </c>
      <c r="L642" t="s">
        <v>2022</v>
      </c>
      <c r="M642" t="s">
        <v>59</v>
      </c>
      <c r="N642">
        <v>1</v>
      </c>
      <c r="O642">
        <v>1584.12</v>
      </c>
      <c r="P642" s="3">
        <v>0.2</v>
      </c>
      <c r="Q642">
        <v>1267.3</v>
      </c>
      <c r="R642">
        <v>923.53</v>
      </c>
      <c r="S642">
        <v>343.77</v>
      </c>
      <c r="T642" t="s">
        <v>41</v>
      </c>
      <c r="U642" t="s">
        <v>42</v>
      </c>
      <c r="V642" s="3">
        <f t="shared" ref="V642:V705" si="90">IF(P642="",0,IF(ISNUMBER(P642),ABS(P642),IF(RIGHT(P642,1)="%",VALUE(LEFT(P642,LEN(P642)-1))/100,P642)))</f>
        <v>0.2</v>
      </c>
      <c r="W642">
        <f t="shared" ref="W642:W705" si="91">N642*O642*(1-V642)</f>
        <v>1267.296</v>
      </c>
      <c r="X642">
        <f t="shared" ref="X642:X705" si="92">W642-R642</f>
        <v>343.76600000000008</v>
      </c>
      <c r="Y642" s="4">
        <f t="shared" ref="Y642:Y705" si="93">IF(W642=0,0,X642/W642)</f>
        <v>0.27125943741635739</v>
      </c>
      <c r="Z642">
        <f t="shared" ref="Z642:Z705" si="94">C642-B642</f>
        <v>3</v>
      </c>
      <c r="AA642">
        <f t="shared" ref="AA642:AA705" si="95">MONTH(B642)</f>
        <v>1</v>
      </c>
      <c r="AB642">
        <f t="shared" ref="AB642:AB705" si="96">YEAR(B642)</f>
        <v>2025</v>
      </c>
      <c r="AC642" t="str">
        <f t="shared" ref="AC642:AC705" si="97">IF(COUNTIF($A$2:$A$913,A642)&gt;1,"Conflict - Review","Unique")</f>
        <v>Unique</v>
      </c>
      <c r="AD642" t="str">
        <f t="shared" ref="AD642:AD705" si="98">IF(OR(C642&lt;B642,AND(ISNUMBER(P642),P642&lt;0),V642&gt;0.65,AC642="Conflict - Review"),"Invalid",IF(OR(G642="Unknown",M642="Unknown",T642="Failed",U642="Cancelled"),"Warning","Clean"))</f>
        <v>Clean</v>
      </c>
    </row>
    <row r="643" spans="1:30" x14ac:dyDescent="0.3">
      <c r="A643" t="s">
        <v>2023</v>
      </c>
      <c r="B643" s="2">
        <v>45756</v>
      </c>
      <c r="C643" s="2">
        <v>45761</v>
      </c>
      <c r="D643" t="s">
        <v>2024</v>
      </c>
      <c r="E643" t="s">
        <v>32</v>
      </c>
      <c r="F643" t="s">
        <v>33</v>
      </c>
      <c r="G643" t="s">
        <v>34</v>
      </c>
      <c r="H643" t="s">
        <v>360</v>
      </c>
      <c r="I643" t="s">
        <v>361</v>
      </c>
      <c r="J643" t="s">
        <v>50</v>
      </c>
      <c r="K643" t="s">
        <v>66</v>
      </c>
      <c r="L643" t="s">
        <v>2025</v>
      </c>
      <c r="M643" t="s">
        <v>53</v>
      </c>
      <c r="N643">
        <v>2</v>
      </c>
      <c r="O643">
        <v>3202.87</v>
      </c>
      <c r="P643" s="3">
        <v>0</v>
      </c>
      <c r="Q643">
        <v>6405.74</v>
      </c>
      <c r="R643">
        <v>3561.87</v>
      </c>
      <c r="S643">
        <v>2843.87</v>
      </c>
      <c r="T643" t="s">
        <v>41</v>
      </c>
      <c r="U643" t="s">
        <v>42</v>
      </c>
      <c r="V643" s="3">
        <f t="shared" si="90"/>
        <v>0</v>
      </c>
      <c r="W643">
        <f t="shared" si="91"/>
        <v>6405.74</v>
      </c>
      <c r="X643">
        <f t="shared" si="92"/>
        <v>2843.87</v>
      </c>
      <c r="Y643" s="4">
        <f t="shared" si="93"/>
        <v>0.44395651400150488</v>
      </c>
      <c r="Z643">
        <f t="shared" si="94"/>
        <v>5</v>
      </c>
      <c r="AA643">
        <f t="shared" si="95"/>
        <v>4</v>
      </c>
      <c r="AB643">
        <f t="shared" si="96"/>
        <v>2025</v>
      </c>
      <c r="AC643" t="str">
        <f t="shared" si="97"/>
        <v>Unique</v>
      </c>
      <c r="AD643" t="str">
        <f t="shared" si="98"/>
        <v>Clean</v>
      </c>
    </row>
    <row r="644" spans="1:30" x14ac:dyDescent="0.3">
      <c r="A644" t="s">
        <v>2026</v>
      </c>
      <c r="B644" s="2">
        <v>45533</v>
      </c>
      <c r="C644" s="2">
        <v>45535</v>
      </c>
      <c r="D644" t="s">
        <v>2027</v>
      </c>
      <c r="E644" t="s">
        <v>56</v>
      </c>
      <c r="F644" t="s">
        <v>104</v>
      </c>
      <c r="G644" t="s">
        <v>47</v>
      </c>
      <c r="H644" t="s">
        <v>175</v>
      </c>
      <c r="I644" t="s">
        <v>176</v>
      </c>
      <c r="J644" t="s">
        <v>37</v>
      </c>
      <c r="K644" t="s">
        <v>162</v>
      </c>
      <c r="L644" t="s">
        <v>2028</v>
      </c>
      <c r="M644" t="s">
        <v>40</v>
      </c>
      <c r="N644">
        <v>9</v>
      </c>
      <c r="O644">
        <v>1275.21</v>
      </c>
      <c r="P644" s="3">
        <v>0.25</v>
      </c>
      <c r="Q644">
        <v>8607.67</v>
      </c>
      <c r="R644">
        <v>5337.64</v>
      </c>
      <c r="S644">
        <v>3270.03</v>
      </c>
      <c r="T644" t="s">
        <v>164</v>
      </c>
      <c r="U644" t="s">
        <v>112</v>
      </c>
      <c r="V644" s="3">
        <f t="shared" si="90"/>
        <v>0.25</v>
      </c>
      <c r="W644">
        <f t="shared" si="91"/>
        <v>8607.6674999999996</v>
      </c>
      <c r="X644">
        <f t="shared" si="92"/>
        <v>3270.0274999999992</v>
      </c>
      <c r="Y644" s="4">
        <f t="shared" si="93"/>
        <v>0.37989705108846261</v>
      </c>
      <c r="Z644">
        <f t="shared" si="94"/>
        <v>2</v>
      </c>
      <c r="AA644">
        <f t="shared" si="95"/>
        <v>8</v>
      </c>
      <c r="AB644">
        <f t="shared" si="96"/>
        <v>2024</v>
      </c>
      <c r="AC644" t="str">
        <f t="shared" si="97"/>
        <v>Unique</v>
      </c>
      <c r="AD644" t="str">
        <f t="shared" si="98"/>
        <v>Warning</v>
      </c>
    </row>
    <row r="645" spans="1:30" x14ac:dyDescent="0.3">
      <c r="A645" t="s">
        <v>2029</v>
      </c>
      <c r="B645" s="2">
        <v>45327</v>
      </c>
      <c r="C645" s="2">
        <v>45335</v>
      </c>
      <c r="D645" t="s">
        <v>730</v>
      </c>
      <c r="E645" t="s">
        <v>137</v>
      </c>
      <c r="F645" t="s">
        <v>104</v>
      </c>
      <c r="G645" t="s">
        <v>34</v>
      </c>
      <c r="H645" t="s">
        <v>145</v>
      </c>
      <c r="I645" t="s">
        <v>146</v>
      </c>
      <c r="J645" t="s">
        <v>37</v>
      </c>
      <c r="K645" t="s">
        <v>100</v>
      </c>
      <c r="L645" t="s">
        <v>2030</v>
      </c>
      <c r="M645" t="s">
        <v>68</v>
      </c>
      <c r="N645">
        <v>8</v>
      </c>
      <c r="O645">
        <v>3871.18</v>
      </c>
      <c r="P645" s="3">
        <v>0.15</v>
      </c>
      <c r="Q645">
        <v>26324.02</v>
      </c>
      <c r="R645">
        <v>16277.96</v>
      </c>
      <c r="S645">
        <v>10046.06</v>
      </c>
      <c r="T645" t="s">
        <v>164</v>
      </c>
      <c r="U645" t="s">
        <v>112</v>
      </c>
      <c r="V645" s="3">
        <f t="shared" si="90"/>
        <v>0.15</v>
      </c>
      <c r="W645">
        <f t="shared" si="91"/>
        <v>26324.023999999998</v>
      </c>
      <c r="X645">
        <f t="shared" si="92"/>
        <v>10046.063999999998</v>
      </c>
      <c r="Y645" s="4">
        <f t="shared" si="93"/>
        <v>0.3816310150758106</v>
      </c>
      <c r="Z645">
        <f t="shared" si="94"/>
        <v>8</v>
      </c>
      <c r="AA645">
        <f t="shared" si="95"/>
        <v>2</v>
      </c>
      <c r="AB645">
        <f t="shared" si="96"/>
        <v>2024</v>
      </c>
      <c r="AC645" t="str">
        <f t="shared" si="97"/>
        <v>Unique</v>
      </c>
      <c r="AD645" t="str">
        <f t="shared" si="98"/>
        <v>Warning</v>
      </c>
    </row>
    <row r="646" spans="1:30" x14ac:dyDescent="0.3">
      <c r="A646" t="s">
        <v>2031</v>
      </c>
      <c r="B646" s="2">
        <v>45757</v>
      </c>
      <c r="C646" s="2">
        <v>45764</v>
      </c>
      <c r="D646" t="s">
        <v>2032</v>
      </c>
      <c r="E646" t="s">
        <v>80</v>
      </c>
      <c r="F646" t="s">
        <v>33</v>
      </c>
      <c r="G646" t="s">
        <v>47</v>
      </c>
      <c r="H646" t="s">
        <v>108</v>
      </c>
      <c r="I646" t="s">
        <v>109</v>
      </c>
      <c r="J646" t="s">
        <v>50</v>
      </c>
      <c r="K646" t="s">
        <v>75</v>
      </c>
      <c r="L646" t="s">
        <v>2033</v>
      </c>
      <c r="M646" t="s">
        <v>68</v>
      </c>
      <c r="N646">
        <v>4</v>
      </c>
      <c r="O646">
        <v>3750.02</v>
      </c>
      <c r="P646" s="3">
        <v>0.05</v>
      </c>
      <c r="Q646">
        <v>14250.08</v>
      </c>
      <c r="R646">
        <v>10914.92</v>
      </c>
      <c r="S646">
        <v>3335.16</v>
      </c>
      <c r="T646" t="s">
        <v>41</v>
      </c>
      <c r="U646" t="s">
        <v>42</v>
      </c>
      <c r="V646" s="3">
        <f t="shared" si="90"/>
        <v>0.05</v>
      </c>
      <c r="W646">
        <f t="shared" si="91"/>
        <v>14250.075999999999</v>
      </c>
      <c r="X646">
        <f t="shared" si="92"/>
        <v>3335.155999999999</v>
      </c>
      <c r="Y646" s="4">
        <f t="shared" si="93"/>
        <v>0.23404478684885605</v>
      </c>
      <c r="Z646">
        <f t="shared" si="94"/>
        <v>7</v>
      </c>
      <c r="AA646">
        <f t="shared" si="95"/>
        <v>4</v>
      </c>
      <c r="AB646">
        <f t="shared" si="96"/>
        <v>2025</v>
      </c>
      <c r="AC646" t="str">
        <f t="shared" si="97"/>
        <v>Unique</v>
      </c>
      <c r="AD646" t="str">
        <f t="shared" si="98"/>
        <v>Clean</v>
      </c>
    </row>
    <row r="647" spans="1:30" x14ac:dyDescent="0.3">
      <c r="A647" t="s">
        <v>2034</v>
      </c>
      <c r="B647" s="2">
        <v>45295</v>
      </c>
      <c r="C647" s="2">
        <v>45300</v>
      </c>
      <c r="D647" t="s">
        <v>2035</v>
      </c>
      <c r="E647" t="s">
        <v>274</v>
      </c>
      <c r="F647" t="s">
        <v>33</v>
      </c>
      <c r="G647" t="s">
        <v>47</v>
      </c>
      <c r="H647" t="s">
        <v>154</v>
      </c>
      <c r="I647" t="s">
        <v>155</v>
      </c>
      <c r="J647" t="s">
        <v>50</v>
      </c>
      <c r="K647" t="s">
        <v>75</v>
      </c>
      <c r="L647" t="s">
        <v>2036</v>
      </c>
      <c r="M647" t="s">
        <v>40</v>
      </c>
      <c r="N647">
        <v>6</v>
      </c>
      <c r="O647">
        <v>2423.61</v>
      </c>
      <c r="P647" s="3">
        <v>0.1</v>
      </c>
      <c r="Q647">
        <v>13087.49</v>
      </c>
      <c r="R647">
        <v>7608.89</v>
      </c>
      <c r="S647">
        <v>5133.22</v>
      </c>
      <c r="T647" t="s">
        <v>41</v>
      </c>
      <c r="U647" t="s">
        <v>42</v>
      </c>
      <c r="V647" s="3">
        <f t="shared" si="90"/>
        <v>0.1</v>
      </c>
      <c r="W647">
        <f t="shared" si="91"/>
        <v>13087.494000000001</v>
      </c>
      <c r="X647">
        <f t="shared" si="92"/>
        <v>5478.6040000000003</v>
      </c>
      <c r="Y647" s="4">
        <f t="shared" si="93"/>
        <v>0.41861367806548755</v>
      </c>
      <c r="Z647">
        <f t="shared" si="94"/>
        <v>5</v>
      </c>
      <c r="AA647">
        <f t="shared" si="95"/>
        <v>1</v>
      </c>
      <c r="AB647">
        <f t="shared" si="96"/>
        <v>2024</v>
      </c>
      <c r="AC647" t="str">
        <f t="shared" si="97"/>
        <v>Unique</v>
      </c>
      <c r="AD647" t="str">
        <f t="shared" si="98"/>
        <v>Clean</v>
      </c>
    </row>
    <row r="648" spans="1:30" x14ac:dyDescent="0.3">
      <c r="A648" t="s">
        <v>2037</v>
      </c>
      <c r="B648" s="2">
        <v>45553</v>
      </c>
      <c r="C648" s="2">
        <v>45559</v>
      </c>
      <c r="D648" t="s">
        <v>2038</v>
      </c>
      <c r="E648" t="s">
        <v>80</v>
      </c>
      <c r="F648" t="s">
        <v>46</v>
      </c>
      <c r="G648" t="s">
        <v>47</v>
      </c>
      <c r="H648" t="s">
        <v>238</v>
      </c>
      <c r="I648" t="s">
        <v>239</v>
      </c>
      <c r="J648" t="s">
        <v>83</v>
      </c>
      <c r="K648" t="s">
        <v>284</v>
      </c>
      <c r="L648" t="s">
        <v>2039</v>
      </c>
      <c r="M648" t="s">
        <v>59</v>
      </c>
      <c r="N648">
        <v>3</v>
      </c>
      <c r="O648">
        <v>729.14</v>
      </c>
      <c r="P648" s="3">
        <v>0.25</v>
      </c>
      <c r="Q648">
        <v>1640.57</v>
      </c>
      <c r="R648">
        <v>1136.98</v>
      </c>
      <c r="S648">
        <v>503.59</v>
      </c>
      <c r="T648" t="s">
        <v>41</v>
      </c>
      <c r="U648" t="s">
        <v>42</v>
      </c>
      <c r="V648" s="3">
        <f t="shared" si="90"/>
        <v>0.25</v>
      </c>
      <c r="W648">
        <f t="shared" si="91"/>
        <v>1640.5650000000001</v>
      </c>
      <c r="X648">
        <f t="shared" si="92"/>
        <v>503.58500000000004</v>
      </c>
      <c r="Y648" s="4">
        <f t="shared" si="93"/>
        <v>0.30695827352162214</v>
      </c>
      <c r="Z648">
        <f t="shared" si="94"/>
        <v>6</v>
      </c>
      <c r="AA648">
        <f t="shared" si="95"/>
        <v>9</v>
      </c>
      <c r="AB648">
        <f t="shared" si="96"/>
        <v>2024</v>
      </c>
      <c r="AC648" t="str">
        <f t="shared" si="97"/>
        <v>Unique</v>
      </c>
      <c r="AD648" t="str">
        <f t="shared" si="98"/>
        <v>Clean</v>
      </c>
    </row>
    <row r="649" spans="1:30" x14ac:dyDescent="0.3">
      <c r="A649" t="s">
        <v>2040</v>
      </c>
      <c r="B649" s="2">
        <v>45658</v>
      </c>
      <c r="C649" s="2">
        <v>45666</v>
      </c>
      <c r="D649" t="s">
        <v>2041</v>
      </c>
      <c r="E649" t="s">
        <v>150</v>
      </c>
      <c r="F649" t="s">
        <v>46</v>
      </c>
      <c r="G649" t="s">
        <v>34</v>
      </c>
      <c r="H649" t="s">
        <v>131</v>
      </c>
      <c r="I649" t="s">
        <v>132</v>
      </c>
      <c r="J649" t="s">
        <v>37</v>
      </c>
      <c r="K649" t="s">
        <v>57</v>
      </c>
      <c r="L649" t="s">
        <v>2042</v>
      </c>
      <c r="M649" t="s">
        <v>59</v>
      </c>
      <c r="N649">
        <v>8</v>
      </c>
      <c r="O649">
        <v>2123.81</v>
      </c>
      <c r="P649" s="3">
        <v>0.15</v>
      </c>
      <c r="Q649">
        <v>14441.91</v>
      </c>
      <c r="R649">
        <v>10872.89</v>
      </c>
      <c r="S649">
        <v>3569.02</v>
      </c>
      <c r="T649" t="s">
        <v>41</v>
      </c>
      <c r="U649" t="s">
        <v>42</v>
      </c>
      <c r="V649" s="3">
        <f t="shared" si="90"/>
        <v>0.15</v>
      </c>
      <c r="W649">
        <f t="shared" si="91"/>
        <v>14441.907999999999</v>
      </c>
      <c r="X649">
        <f t="shared" si="92"/>
        <v>3569.018</v>
      </c>
      <c r="Y649" s="4">
        <f t="shared" si="93"/>
        <v>0.24712925743606731</v>
      </c>
      <c r="Z649">
        <f t="shared" si="94"/>
        <v>8</v>
      </c>
      <c r="AA649">
        <f t="shared" si="95"/>
        <v>1</v>
      </c>
      <c r="AB649">
        <f t="shared" si="96"/>
        <v>2025</v>
      </c>
      <c r="AC649" t="str">
        <f t="shared" si="97"/>
        <v>Unique</v>
      </c>
      <c r="AD649" t="str">
        <f t="shared" si="98"/>
        <v>Clean</v>
      </c>
    </row>
    <row r="650" spans="1:30" x14ac:dyDescent="0.3">
      <c r="A650" t="s">
        <v>2043</v>
      </c>
      <c r="B650" s="2">
        <v>45403</v>
      </c>
      <c r="C650" s="2">
        <v>45406</v>
      </c>
      <c r="D650" t="s">
        <v>2044</v>
      </c>
      <c r="E650" t="s">
        <v>88</v>
      </c>
      <c r="F650" t="s">
        <v>46</v>
      </c>
      <c r="G650" t="s">
        <v>63</v>
      </c>
      <c r="H650" t="s">
        <v>93</v>
      </c>
      <c r="I650" t="s">
        <v>94</v>
      </c>
      <c r="J650" t="s">
        <v>37</v>
      </c>
      <c r="K650" t="s">
        <v>57</v>
      </c>
      <c r="L650" t="s">
        <v>2045</v>
      </c>
      <c r="M650" t="s">
        <v>53</v>
      </c>
      <c r="N650">
        <v>9</v>
      </c>
      <c r="O650">
        <v>703.59</v>
      </c>
      <c r="P650" s="3">
        <v>0.2</v>
      </c>
      <c r="Q650">
        <v>5065.8500000000004</v>
      </c>
      <c r="R650">
        <v>3517.23</v>
      </c>
      <c r="S650">
        <v>1548.62</v>
      </c>
      <c r="T650" t="s">
        <v>164</v>
      </c>
      <c r="U650" t="s">
        <v>112</v>
      </c>
      <c r="V650" s="3">
        <f t="shared" si="90"/>
        <v>0.2</v>
      </c>
      <c r="W650">
        <f t="shared" si="91"/>
        <v>5065.8480000000009</v>
      </c>
      <c r="X650">
        <f t="shared" si="92"/>
        <v>1548.6180000000008</v>
      </c>
      <c r="Y650" s="4">
        <f t="shared" si="93"/>
        <v>0.30569768378364304</v>
      </c>
      <c r="Z650">
        <f t="shared" si="94"/>
        <v>3</v>
      </c>
      <c r="AA650">
        <f t="shared" si="95"/>
        <v>4</v>
      </c>
      <c r="AB650">
        <f t="shared" si="96"/>
        <v>2024</v>
      </c>
      <c r="AC650" t="str">
        <f t="shared" si="97"/>
        <v>Unique</v>
      </c>
      <c r="AD650" t="str">
        <f t="shared" si="98"/>
        <v>Warning</v>
      </c>
    </row>
    <row r="651" spans="1:30" x14ac:dyDescent="0.3">
      <c r="A651" t="s">
        <v>2046</v>
      </c>
      <c r="B651" s="2">
        <v>45880</v>
      </c>
      <c r="C651" s="2">
        <v>45888</v>
      </c>
      <c r="D651" t="s">
        <v>2047</v>
      </c>
      <c r="E651" t="s">
        <v>274</v>
      </c>
      <c r="F651" t="s">
        <v>46</v>
      </c>
      <c r="G651" t="s">
        <v>63</v>
      </c>
      <c r="H651" t="s">
        <v>194</v>
      </c>
      <c r="I651" t="s">
        <v>195</v>
      </c>
      <c r="J651" t="s">
        <v>83</v>
      </c>
      <c r="K651" t="s">
        <v>84</v>
      </c>
      <c r="L651" t="s">
        <v>2048</v>
      </c>
      <c r="M651" t="s">
        <v>68</v>
      </c>
      <c r="N651">
        <v>4</v>
      </c>
      <c r="O651">
        <v>2258.96</v>
      </c>
      <c r="P651" s="3">
        <v>0.25</v>
      </c>
      <c r="Q651">
        <v>6776.88</v>
      </c>
      <c r="R651">
        <v>3836.24</v>
      </c>
      <c r="S651">
        <v>2940.64</v>
      </c>
      <c r="T651" t="s">
        <v>41</v>
      </c>
      <c r="U651" t="s">
        <v>42</v>
      </c>
      <c r="V651" s="3">
        <f t="shared" si="90"/>
        <v>0.25</v>
      </c>
      <c r="W651">
        <f t="shared" si="91"/>
        <v>6776.88</v>
      </c>
      <c r="X651">
        <f t="shared" si="92"/>
        <v>2940.6400000000003</v>
      </c>
      <c r="Y651" s="4">
        <f t="shared" si="93"/>
        <v>0.43392239496641527</v>
      </c>
      <c r="Z651">
        <f t="shared" si="94"/>
        <v>8</v>
      </c>
      <c r="AA651">
        <f t="shared" si="95"/>
        <v>8</v>
      </c>
      <c r="AB651">
        <f t="shared" si="96"/>
        <v>2025</v>
      </c>
      <c r="AC651" t="str">
        <f t="shared" si="97"/>
        <v>Unique</v>
      </c>
      <c r="AD651" t="str">
        <f t="shared" si="98"/>
        <v>Clean</v>
      </c>
    </row>
    <row r="652" spans="1:30" x14ac:dyDescent="0.3">
      <c r="A652" t="s">
        <v>2049</v>
      </c>
      <c r="B652" s="2">
        <v>45395</v>
      </c>
      <c r="C652" s="2">
        <v>45403</v>
      </c>
      <c r="D652" t="s">
        <v>388</v>
      </c>
      <c r="E652" t="s">
        <v>137</v>
      </c>
      <c r="F652" t="s">
        <v>104</v>
      </c>
      <c r="G652" t="s">
        <v>47</v>
      </c>
      <c r="H652" t="s">
        <v>154</v>
      </c>
      <c r="I652" t="s">
        <v>155</v>
      </c>
      <c r="J652" t="s">
        <v>83</v>
      </c>
      <c r="K652" t="s">
        <v>84</v>
      </c>
      <c r="L652" t="s">
        <v>2050</v>
      </c>
      <c r="M652" t="s">
        <v>53</v>
      </c>
      <c r="N652">
        <v>7</v>
      </c>
      <c r="O652">
        <v>2648.76</v>
      </c>
      <c r="P652" s="3">
        <v>0.15</v>
      </c>
      <c r="Q652">
        <v>15760.12</v>
      </c>
      <c r="R652">
        <v>9931.5300000000007</v>
      </c>
      <c r="S652">
        <v>5828.59</v>
      </c>
      <c r="T652" t="s">
        <v>164</v>
      </c>
      <c r="U652" t="s">
        <v>112</v>
      </c>
      <c r="V652" s="3">
        <f t="shared" si="90"/>
        <v>0.15</v>
      </c>
      <c r="W652">
        <f t="shared" si="91"/>
        <v>15760.121999999999</v>
      </c>
      <c r="X652">
        <f t="shared" si="92"/>
        <v>5828.5919999999987</v>
      </c>
      <c r="Y652" s="4">
        <f t="shared" si="93"/>
        <v>0.36983165485647884</v>
      </c>
      <c r="Z652">
        <f t="shared" si="94"/>
        <v>8</v>
      </c>
      <c r="AA652">
        <f t="shared" si="95"/>
        <v>4</v>
      </c>
      <c r="AB652">
        <f t="shared" si="96"/>
        <v>2024</v>
      </c>
      <c r="AC652" t="str">
        <f t="shared" si="97"/>
        <v>Unique</v>
      </c>
      <c r="AD652" t="str">
        <f t="shared" si="98"/>
        <v>Warning</v>
      </c>
    </row>
    <row r="653" spans="1:30" x14ac:dyDescent="0.3">
      <c r="A653" t="s">
        <v>2051</v>
      </c>
      <c r="B653" s="2">
        <v>45875</v>
      </c>
      <c r="C653" s="2">
        <v>45878</v>
      </c>
      <c r="D653" t="s">
        <v>2052</v>
      </c>
      <c r="E653" t="s">
        <v>45</v>
      </c>
      <c r="F653" t="s">
        <v>46</v>
      </c>
      <c r="G653" t="s">
        <v>63</v>
      </c>
      <c r="H653" t="s">
        <v>93</v>
      </c>
      <c r="I653" t="s">
        <v>94</v>
      </c>
      <c r="J653" t="s">
        <v>37</v>
      </c>
      <c r="K653" t="s">
        <v>38</v>
      </c>
      <c r="L653" t="s">
        <v>2053</v>
      </c>
      <c r="M653" t="s">
        <v>40</v>
      </c>
      <c r="N653">
        <v>3</v>
      </c>
      <c r="O653">
        <v>598.54999999999995</v>
      </c>
      <c r="P653" s="3">
        <v>0</v>
      </c>
      <c r="Q653">
        <v>1795.65</v>
      </c>
      <c r="R653">
        <v>996.72</v>
      </c>
      <c r="S653">
        <v>798.93</v>
      </c>
      <c r="T653" t="s">
        <v>41</v>
      </c>
      <c r="U653" t="s">
        <v>42</v>
      </c>
      <c r="V653" s="3">
        <f t="shared" si="90"/>
        <v>0</v>
      </c>
      <c r="W653">
        <f t="shared" si="91"/>
        <v>1795.6499999999999</v>
      </c>
      <c r="X653">
        <f t="shared" si="92"/>
        <v>798.92999999999984</v>
      </c>
      <c r="Y653" s="4">
        <f t="shared" si="93"/>
        <v>0.44492523598696843</v>
      </c>
      <c r="Z653">
        <f t="shared" si="94"/>
        <v>3</v>
      </c>
      <c r="AA653">
        <f t="shared" si="95"/>
        <v>8</v>
      </c>
      <c r="AB653">
        <f t="shared" si="96"/>
        <v>2025</v>
      </c>
      <c r="AC653" t="str">
        <f t="shared" si="97"/>
        <v>Unique</v>
      </c>
      <c r="AD653" t="str">
        <f t="shared" si="98"/>
        <v>Clean</v>
      </c>
    </row>
    <row r="654" spans="1:30" x14ac:dyDescent="0.3">
      <c r="A654" t="s">
        <v>2054</v>
      </c>
      <c r="B654" s="2">
        <v>45733</v>
      </c>
      <c r="C654" s="2">
        <v>45737</v>
      </c>
      <c r="D654" t="s">
        <v>1698</v>
      </c>
      <c r="E654" t="s">
        <v>141</v>
      </c>
      <c r="F654" t="s">
        <v>33</v>
      </c>
      <c r="G654" t="s">
        <v>34</v>
      </c>
      <c r="H654" t="s">
        <v>145</v>
      </c>
      <c r="I654" t="s">
        <v>146</v>
      </c>
      <c r="J654" t="s">
        <v>37</v>
      </c>
      <c r="K654" t="s">
        <v>162</v>
      </c>
      <c r="L654" t="s">
        <v>2055</v>
      </c>
      <c r="M654" t="s">
        <v>68</v>
      </c>
      <c r="N654">
        <v>5</v>
      </c>
      <c r="O654">
        <v>4320.59</v>
      </c>
      <c r="P654" s="3">
        <v>0.15</v>
      </c>
      <c r="Q654">
        <v>18362.509999999998</v>
      </c>
      <c r="R654">
        <v>11133.97</v>
      </c>
      <c r="S654">
        <v>7228.54</v>
      </c>
      <c r="T654" t="s">
        <v>41</v>
      </c>
      <c r="U654" t="s">
        <v>42</v>
      </c>
      <c r="V654" s="3">
        <f t="shared" si="90"/>
        <v>0.15</v>
      </c>
      <c r="W654">
        <f t="shared" si="91"/>
        <v>18362.5075</v>
      </c>
      <c r="X654">
        <f t="shared" si="92"/>
        <v>7228.5375000000004</v>
      </c>
      <c r="Y654" s="4">
        <f t="shared" si="93"/>
        <v>0.39365742941153326</v>
      </c>
      <c r="Z654">
        <f t="shared" si="94"/>
        <v>4</v>
      </c>
      <c r="AA654">
        <f t="shared" si="95"/>
        <v>3</v>
      </c>
      <c r="AB654">
        <f t="shared" si="96"/>
        <v>2025</v>
      </c>
      <c r="AC654" t="str">
        <f t="shared" si="97"/>
        <v>Unique</v>
      </c>
      <c r="AD654" t="str">
        <f t="shared" si="98"/>
        <v>Clean</v>
      </c>
    </row>
    <row r="655" spans="1:30" x14ac:dyDescent="0.3">
      <c r="A655" t="s">
        <v>2056</v>
      </c>
      <c r="B655" s="2">
        <v>45751</v>
      </c>
      <c r="C655" s="2">
        <v>45754</v>
      </c>
      <c r="D655" t="s">
        <v>2057</v>
      </c>
      <c r="E655" t="s">
        <v>123</v>
      </c>
      <c r="F655" t="s">
        <v>46</v>
      </c>
      <c r="G655" t="s">
        <v>63</v>
      </c>
      <c r="H655" t="s">
        <v>257</v>
      </c>
      <c r="I655" t="s">
        <v>258</v>
      </c>
      <c r="J655" t="s">
        <v>83</v>
      </c>
      <c r="K655" t="s">
        <v>89</v>
      </c>
      <c r="L655" t="s">
        <v>2058</v>
      </c>
      <c r="M655" t="s">
        <v>40</v>
      </c>
      <c r="N655">
        <v>7</v>
      </c>
      <c r="O655">
        <v>4457.93</v>
      </c>
      <c r="P655" s="3">
        <v>0.15</v>
      </c>
      <c r="Q655">
        <v>26524.68</v>
      </c>
      <c r="R655">
        <v>20574.3</v>
      </c>
      <c r="S655">
        <v>5950.38</v>
      </c>
      <c r="T655" t="s">
        <v>41</v>
      </c>
      <c r="U655" t="s">
        <v>42</v>
      </c>
      <c r="V655" s="3">
        <f t="shared" si="90"/>
        <v>0.15</v>
      </c>
      <c r="W655">
        <f t="shared" si="91"/>
        <v>26524.683500000003</v>
      </c>
      <c r="X655">
        <f t="shared" si="92"/>
        <v>5950.3835000000036</v>
      </c>
      <c r="Y655" s="4">
        <f t="shared" si="93"/>
        <v>0.22433381721595294</v>
      </c>
      <c r="Z655">
        <f t="shared" si="94"/>
        <v>3</v>
      </c>
      <c r="AA655">
        <f t="shared" si="95"/>
        <v>4</v>
      </c>
      <c r="AB655">
        <f t="shared" si="96"/>
        <v>2025</v>
      </c>
      <c r="AC655" t="str">
        <f t="shared" si="97"/>
        <v>Unique</v>
      </c>
      <c r="AD655" t="str">
        <f t="shared" si="98"/>
        <v>Clean</v>
      </c>
    </row>
    <row r="656" spans="1:30" x14ac:dyDescent="0.3">
      <c r="A656" t="s">
        <v>2059</v>
      </c>
      <c r="B656" s="2">
        <v>45942</v>
      </c>
      <c r="C656" s="2">
        <v>45946</v>
      </c>
      <c r="D656" t="s">
        <v>937</v>
      </c>
      <c r="E656" t="s">
        <v>171</v>
      </c>
      <c r="F656" t="s">
        <v>99</v>
      </c>
      <c r="G656" t="s">
        <v>47</v>
      </c>
      <c r="H656" t="s">
        <v>154</v>
      </c>
      <c r="I656" t="s">
        <v>155</v>
      </c>
      <c r="J656" t="s">
        <v>83</v>
      </c>
      <c r="K656" t="s">
        <v>284</v>
      </c>
      <c r="L656" t="s">
        <v>2060</v>
      </c>
      <c r="M656" t="s">
        <v>53</v>
      </c>
      <c r="N656">
        <v>1</v>
      </c>
      <c r="O656">
        <v>2570.06</v>
      </c>
      <c r="P656" s="3">
        <v>0.2</v>
      </c>
      <c r="Q656">
        <v>2056.0500000000002</v>
      </c>
      <c r="R656">
        <v>1662.39</v>
      </c>
      <c r="S656">
        <v>393.66</v>
      </c>
      <c r="T656" t="s">
        <v>41</v>
      </c>
      <c r="U656" t="s">
        <v>42</v>
      </c>
      <c r="V656" s="3">
        <f t="shared" si="90"/>
        <v>0.2</v>
      </c>
      <c r="W656">
        <f t="shared" si="91"/>
        <v>2056.0480000000002</v>
      </c>
      <c r="X656">
        <f t="shared" si="92"/>
        <v>393.65800000000013</v>
      </c>
      <c r="Y656" s="4">
        <f t="shared" si="93"/>
        <v>0.19146342886936496</v>
      </c>
      <c r="Z656">
        <f t="shared" si="94"/>
        <v>4</v>
      </c>
      <c r="AA656">
        <f t="shared" si="95"/>
        <v>10</v>
      </c>
      <c r="AB656">
        <f t="shared" si="96"/>
        <v>2025</v>
      </c>
      <c r="AC656" t="str">
        <f t="shared" si="97"/>
        <v>Unique</v>
      </c>
      <c r="AD656" t="str">
        <f t="shared" si="98"/>
        <v>Clean</v>
      </c>
    </row>
    <row r="657" spans="1:30" x14ac:dyDescent="0.3">
      <c r="A657" t="s">
        <v>2061</v>
      </c>
      <c r="B657" s="2">
        <v>45895</v>
      </c>
      <c r="C657" s="2">
        <v>45895</v>
      </c>
      <c r="D657" t="s">
        <v>2062</v>
      </c>
      <c r="E657" t="s">
        <v>88</v>
      </c>
      <c r="F657" t="s">
        <v>104</v>
      </c>
      <c r="G657" t="s">
        <v>47</v>
      </c>
      <c r="H657" t="s">
        <v>108</v>
      </c>
      <c r="I657" t="s">
        <v>109</v>
      </c>
      <c r="J657" t="s">
        <v>50</v>
      </c>
      <c r="K657" t="s">
        <v>66</v>
      </c>
      <c r="L657" t="s">
        <v>2063</v>
      </c>
      <c r="M657" t="s">
        <v>68</v>
      </c>
      <c r="N657">
        <v>4</v>
      </c>
      <c r="O657">
        <v>2151.8200000000002</v>
      </c>
      <c r="P657" s="3">
        <v>0</v>
      </c>
      <c r="Q657">
        <v>8607.2800000000007</v>
      </c>
      <c r="R657">
        <v>5124.01</v>
      </c>
      <c r="S657">
        <v>3483.27</v>
      </c>
      <c r="T657" t="s">
        <v>41</v>
      </c>
      <c r="U657" t="s">
        <v>42</v>
      </c>
      <c r="V657" s="3">
        <f t="shared" si="90"/>
        <v>0</v>
      </c>
      <c r="W657">
        <f t="shared" si="91"/>
        <v>8607.2800000000007</v>
      </c>
      <c r="X657">
        <f t="shared" si="92"/>
        <v>3483.2700000000004</v>
      </c>
      <c r="Y657" s="4">
        <f t="shared" si="93"/>
        <v>0.40468882155570635</v>
      </c>
      <c r="Z657">
        <f t="shared" si="94"/>
        <v>0</v>
      </c>
      <c r="AA657">
        <f t="shared" si="95"/>
        <v>8</v>
      </c>
      <c r="AB657">
        <f t="shared" si="96"/>
        <v>2025</v>
      </c>
      <c r="AC657" t="str">
        <f t="shared" si="97"/>
        <v>Unique</v>
      </c>
      <c r="AD657" t="str">
        <f t="shared" si="98"/>
        <v>Clean</v>
      </c>
    </row>
    <row r="658" spans="1:30" x14ac:dyDescent="0.3">
      <c r="A658" t="s">
        <v>2064</v>
      </c>
      <c r="B658" s="2">
        <v>45419</v>
      </c>
      <c r="C658" s="2">
        <v>45426</v>
      </c>
      <c r="D658" t="s">
        <v>2065</v>
      </c>
      <c r="E658" t="s">
        <v>88</v>
      </c>
      <c r="F658" t="s">
        <v>46</v>
      </c>
      <c r="G658" t="s">
        <v>34</v>
      </c>
      <c r="H658" t="s">
        <v>246</v>
      </c>
      <c r="I658" t="s">
        <v>247</v>
      </c>
      <c r="J658" t="s">
        <v>83</v>
      </c>
      <c r="K658" t="s">
        <v>284</v>
      </c>
      <c r="L658" t="s">
        <v>2066</v>
      </c>
      <c r="M658" t="s">
        <v>53</v>
      </c>
      <c r="N658">
        <v>4</v>
      </c>
      <c r="O658">
        <v>2751.1</v>
      </c>
      <c r="P658" s="3">
        <v>-0.05</v>
      </c>
      <c r="Q658">
        <v>9903.9599999999991</v>
      </c>
      <c r="R658">
        <v>7696.28</v>
      </c>
      <c r="S658">
        <v>2207.6799999999998</v>
      </c>
      <c r="T658" t="s">
        <v>41</v>
      </c>
      <c r="U658" t="s">
        <v>42</v>
      </c>
      <c r="V658" s="3">
        <f t="shared" si="90"/>
        <v>0.05</v>
      </c>
      <c r="W658">
        <f t="shared" si="91"/>
        <v>10454.179999999998</v>
      </c>
      <c r="X658">
        <f t="shared" si="92"/>
        <v>2757.8999999999987</v>
      </c>
      <c r="Y658" s="4">
        <f t="shared" si="93"/>
        <v>0.26380835225718319</v>
      </c>
      <c r="Z658">
        <f t="shared" si="94"/>
        <v>7</v>
      </c>
      <c r="AA658">
        <f t="shared" si="95"/>
        <v>5</v>
      </c>
      <c r="AB658">
        <f t="shared" si="96"/>
        <v>2024</v>
      </c>
      <c r="AC658" t="str">
        <f t="shared" si="97"/>
        <v>Unique</v>
      </c>
      <c r="AD658" t="str">
        <f t="shared" si="98"/>
        <v>Invalid</v>
      </c>
    </row>
    <row r="659" spans="1:30" x14ac:dyDescent="0.3">
      <c r="A659" t="s">
        <v>2067</v>
      </c>
      <c r="B659" s="2">
        <v>45876</v>
      </c>
      <c r="C659" s="2">
        <v>45879</v>
      </c>
      <c r="D659" t="s">
        <v>2068</v>
      </c>
      <c r="E659" t="s">
        <v>98</v>
      </c>
      <c r="F659" t="s">
        <v>104</v>
      </c>
      <c r="G659" t="s">
        <v>47</v>
      </c>
      <c r="H659" t="s">
        <v>154</v>
      </c>
      <c r="I659" t="s">
        <v>155</v>
      </c>
      <c r="J659" t="s">
        <v>37</v>
      </c>
      <c r="K659" t="s">
        <v>133</v>
      </c>
      <c r="L659" t="s">
        <v>2069</v>
      </c>
      <c r="M659" t="s">
        <v>40</v>
      </c>
      <c r="N659">
        <v>1</v>
      </c>
      <c r="O659">
        <v>2541.25</v>
      </c>
      <c r="P659" s="3">
        <v>0.2</v>
      </c>
      <c r="Q659">
        <v>2033</v>
      </c>
      <c r="R659">
        <v>1291.4100000000001</v>
      </c>
      <c r="S659">
        <v>741.59</v>
      </c>
      <c r="T659" t="s">
        <v>41</v>
      </c>
      <c r="U659" t="s">
        <v>42</v>
      </c>
      <c r="V659" s="3">
        <f t="shared" si="90"/>
        <v>0.2</v>
      </c>
      <c r="W659">
        <f t="shared" si="91"/>
        <v>2033</v>
      </c>
      <c r="X659">
        <f t="shared" si="92"/>
        <v>741.58999999999992</v>
      </c>
      <c r="Y659" s="4">
        <f t="shared" si="93"/>
        <v>0.36477619281849477</v>
      </c>
      <c r="Z659">
        <f t="shared" si="94"/>
        <v>3</v>
      </c>
      <c r="AA659">
        <f t="shared" si="95"/>
        <v>8</v>
      </c>
      <c r="AB659">
        <f t="shared" si="96"/>
        <v>2025</v>
      </c>
      <c r="AC659" t="str">
        <f t="shared" si="97"/>
        <v>Unique</v>
      </c>
      <c r="AD659" t="str">
        <f t="shared" si="98"/>
        <v>Clean</v>
      </c>
    </row>
    <row r="660" spans="1:30" x14ac:dyDescent="0.3">
      <c r="A660" t="s">
        <v>2070</v>
      </c>
      <c r="B660" s="2">
        <v>45817</v>
      </c>
      <c r="C660" s="2">
        <v>45820</v>
      </c>
      <c r="D660" t="s">
        <v>2071</v>
      </c>
      <c r="E660" t="s">
        <v>141</v>
      </c>
      <c r="F660" t="s">
        <v>33</v>
      </c>
      <c r="G660" t="s">
        <v>214</v>
      </c>
      <c r="H660" t="s">
        <v>154</v>
      </c>
      <c r="I660" t="s">
        <v>155</v>
      </c>
      <c r="J660" t="s">
        <v>37</v>
      </c>
      <c r="K660" t="s">
        <v>57</v>
      </c>
      <c r="L660" t="s">
        <v>2072</v>
      </c>
      <c r="M660" t="s">
        <v>59</v>
      </c>
      <c r="N660">
        <v>7</v>
      </c>
      <c r="O660">
        <v>2852.42</v>
      </c>
      <c r="P660" s="3">
        <v>0</v>
      </c>
      <c r="Q660">
        <v>19966.939999999999</v>
      </c>
      <c r="R660">
        <v>12690.83</v>
      </c>
      <c r="S660">
        <v>7276.11</v>
      </c>
      <c r="T660" t="s">
        <v>111</v>
      </c>
      <c r="U660" t="s">
        <v>77</v>
      </c>
      <c r="V660" s="3">
        <f t="shared" si="90"/>
        <v>0</v>
      </c>
      <c r="W660">
        <f t="shared" si="91"/>
        <v>19966.940000000002</v>
      </c>
      <c r="X660">
        <f t="shared" si="92"/>
        <v>7276.1100000000024</v>
      </c>
      <c r="Y660" s="4">
        <f t="shared" si="93"/>
        <v>0.36440786620283339</v>
      </c>
      <c r="Z660">
        <f t="shared" si="94"/>
        <v>3</v>
      </c>
      <c r="AA660">
        <f t="shared" si="95"/>
        <v>6</v>
      </c>
      <c r="AB660">
        <f t="shared" si="96"/>
        <v>2025</v>
      </c>
      <c r="AC660" t="str">
        <f t="shared" si="97"/>
        <v>Unique</v>
      </c>
      <c r="AD660" t="str">
        <f t="shared" si="98"/>
        <v>Warning</v>
      </c>
    </row>
    <row r="661" spans="1:30" x14ac:dyDescent="0.3">
      <c r="A661" t="s">
        <v>2073</v>
      </c>
      <c r="B661" s="2">
        <v>45678</v>
      </c>
      <c r="C661" s="2">
        <v>45679</v>
      </c>
      <c r="D661" t="s">
        <v>2074</v>
      </c>
      <c r="E661" t="s">
        <v>171</v>
      </c>
      <c r="F661" t="s">
        <v>99</v>
      </c>
      <c r="G661" t="s">
        <v>63</v>
      </c>
      <c r="H661" t="s">
        <v>184</v>
      </c>
      <c r="I661" t="s">
        <v>185</v>
      </c>
      <c r="J661" t="s">
        <v>83</v>
      </c>
      <c r="K661" t="s">
        <v>180</v>
      </c>
      <c r="L661" t="s">
        <v>2075</v>
      </c>
      <c r="M661" t="s">
        <v>40</v>
      </c>
      <c r="N661">
        <v>2</v>
      </c>
      <c r="O661">
        <v>444.31</v>
      </c>
      <c r="P661" s="3">
        <v>0.2</v>
      </c>
      <c r="Q661">
        <v>710.9</v>
      </c>
      <c r="R661">
        <v>513.88</v>
      </c>
      <c r="S661">
        <v>197.02</v>
      </c>
      <c r="T661" t="s">
        <v>111</v>
      </c>
      <c r="U661" t="s">
        <v>77</v>
      </c>
      <c r="V661" s="3">
        <f t="shared" si="90"/>
        <v>0.2</v>
      </c>
      <c r="W661">
        <f t="shared" si="91"/>
        <v>710.89600000000007</v>
      </c>
      <c r="X661">
        <f t="shared" si="92"/>
        <v>197.01600000000008</v>
      </c>
      <c r="Y661" s="4">
        <f t="shared" si="93"/>
        <v>0.27713758411919615</v>
      </c>
      <c r="Z661">
        <f t="shared" si="94"/>
        <v>1</v>
      </c>
      <c r="AA661">
        <f t="shared" si="95"/>
        <v>1</v>
      </c>
      <c r="AB661">
        <f t="shared" si="96"/>
        <v>2025</v>
      </c>
      <c r="AC661" t="str">
        <f t="shared" si="97"/>
        <v>Unique</v>
      </c>
      <c r="AD661" t="str">
        <f t="shared" si="98"/>
        <v>Warning</v>
      </c>
    </row>
    <row r="662" spans="1:30" x14ac:dyDescent="0.3">
      <c r="A662" t="s">
        <v>2076</v>
      </c>
      <c r="B662" s="2">
        <v>45853</v>
      </c>
      <c r="C662" s="2">
        <v>45853</v>
      </c>
      <c r="D662" t="s">
        <v>2077</v>
      </c>
      <c r="E662" t="s">
        <v>62</v>
      </c>
      <c r="F662" t="s">
        <v>46</v>
      </c>
      <c r="G662" t="s">
        <v>47</v>
      </c>
      <c r="H662" t="s">
        <v>238</v>
      </c>
      <c r="I662" t="s">
        <v>239</v>
      </c>
      <c r="J662" t="s">
        <v>83</v>
      </c>
      <c r="K662" t="s">
        <v>180</v>
      </c>
      <c r="L662" t="s">
        <v>2078</v>
      </c>
      <c r="M662" t="s">
        <v>53</v>
      </c>
      <c r="N662">
        <v>4</v>
      </c>
      <c r="O662">
        <v>4442.91</v>
      </c>
      <c r="P662" s="3">
        <v>0.1</v>
      </c>
      <c r="Q662">
        <v>15994.48</v>
      </c>
      <c r="R662">
        <v>9224.2800000000007</v>
      </c>
      <c r="S662">
        <v>6770.2</v>
      </c>
      <c r="T662" t="s">
        <v>41</v>
      </c>
      <c r="U662" t="s">
        <v>42</v>
      </c>
      <c r="V662" s="3">
        <f t="shared" si="90"/>
        <v>0.1</v>
      </c>
      <c r="W662">
        <f t="shared" si="91"/>
        <v>15994.476000000001</v>
      </c>
      <c r="X662">
        <f t="shared" si="92"/>
        <v>6770.1959999999999</v>
      </c>
      <c r="Y662" s="4">
        <f t="shared" si="93"/>
        <v>0.42328338858991066</v>
      </c>
      <c r="Z662">
        <f t="shared" si="94"/>
        <v>0</v>
      </c>
      <c r="AA662">
        <f t="shared" si="95"/>
        <v>7</v>
      </c>
      <c r="AB662">
        <f t="shared" si="96"/>
        <v>2025</v>
      </c>
      <c r="AC662" t="str">
        <f t="shared" si="97"/>
        <v>Unique</v>
      </c>
      <c r="AD662" t="str">
        <f t="shared" si="98"/>
        <v>Clean</v>
      </c>
    </row>
    <row r="663" spans="1:30" x14ac:dyDescent="0.3">
      <c r="A663" t="s">
        <v>2079</v>
      </c>
      <c r="B663" s="2">
        <v>45429</v>
      </c>
      <c r="C663" s="2">
        <v>45434</v>
      </c>
      <c r="D663" t="s">
        <v>2080</v>
      </c>
      <c r="E663" t="s">
        <v>141</v>
      </c>
      <c r="F663" t="s">
        <v>33</v>
      </c>
      <c r="G663" t="s">
        <v>63</v>
      </c>
      <c r="H663" t="s">
        <v>93</v>
      </c>
      <c r="I663" t="s">
        <v>94</v>
      </c>
      <c r="J663" t="s">
        <v>83</v>
      </c>
      <c r="K663" t="s">
        <v>284</v>
      </c>
      <c r="L663" t="s">
        <v>2081</v>
      </c>
      <c r="M663" t="s">
        <v>40</v>
      </c>
      <c r="N663">
        <v>7</v>
      </c>
      <c r="O663">
        <v>232.5</v>
      </c>
      <c r="P663" s="3">
        <v>0</v>
      </c>
      <c r="Q663">
        <v>1627.5</v>
      </c>
      <c r="R663">
        <v>939.9</v>
      </c>
      <c r="S663">
        <v>687.6</v>
      </c>
      <c r="T663" t="s">
        <v>41</v>
      </c>
      <c r="U663" t="s">
        <v>42</v>
      </c>
      <c r="V663" s="3">
        <f t="shared" si="90"/>
        <v>0</v>
      </c>
      <c r="W663">
        <f t="shared" si="91"/>
        <v>1627.5</v>
      </c>
      <c r="X663">
        <f t="shared" si="92"/>
        <v>687.6</v>
      </c>
      <c r="Y663" s="4">
        <f t="shared" si="93"/>
        <v>0.4224884792626728</v>
      </c>
      <c r="Z663">
        <f t="shared" si="94"/>
        <v>5</v>
      </c>
      <c r="AA663">
        <f t="shared" si="95"/>
        <v>5</v>
      </c>
      <c r="AB663">
        <f t="shared" si="96"/>
        <v>2024</v>
      </c>
      <c r="AC663" t="str">
        <f t="shared" si="97"/>
        <v>Unique</v>
      </c>
      <c r="AD663" t="str">
        <f t="shared" si="98"/>
        <v>Clean</v>
      </c>
    </row>
    <row r="664" spans="1:30" x14ac:dyDescent="0.3">
      <c r="A664" t="s">
        <v>2082</v>
      </c>
      <c r="B664" s="2">
        <v>45305</v>
      </c>
      <c r="C664" s="2">
        <v>45309</v>
      </c>
      <c r="D664" t="s">
        <v>2083</v>
      </c>
      <c r="E664" t="s">
        <v>45</v>
      </c>
      <c r="F664" t="s">
        <v>104</v>
      </c>
      <c r="G664" t="s">
        <v>72</v>
      </c>
      <c r="H664" t="s">
        <v>35</v>
      </c>
      <c r="I664" t="s">
        <v>118</v>
      </c>
      <c r="J664" t="s">
        <v>83</v>
      </c>
      <c r="K664" t="s">
        <v>284</v>
      </c>
      <c r="L664" t="s">
        <v>2084</v>
      </c>
      <c r="M664" t="s">
        <v>53</v>
      </c>
      <c r="N664">
        <v>6</v>
      </c>
      <c r="O664">
        <v>1784.8</v>
      </c>
      <c r="P664" s="3">
        <v>0.1</v>
      </c>
      <c r="Q664">
        <v>9637.92</v>
      </c>
      <c r="R664">
        <v>7329.29</v>
      </c>
      <c r="S664">
        <v>2308.63</v>
      </c>
      <c r="T664" t="s">
        <v>41</v>
      </c>
      <c r="U664" t="s">
        <v>42</v>
      </c>
      <c r="V664" s="3">
        <f t="shared" si="90"/>
        <v>0.1</v>
      </c>
      <c r="W664">
        <f t="shared" si="91"/>
        <v>9637.92</v>
      </c>
      <c r="X664">
        <f t="shared" si="92"/>
        <v>2308.63</v>
      </c>
      <c r="Y664" s="4">
        <f t="shared" si="93"/>
        <v>0.2395361239769577</v>
      </c>
      <c r="Z664">
        <f t="shared" si="94"/>
        <v>4</v>
      </c>
      <c r="AA664">
        <f t="shared" si="95"/>
        <v>1</v>
      </c>
      <c r="AB664">
        <f t="shared" si="96"/>
        <v>2024</v>
      </c>
      <c r="AC664" t="str">
        <f t="shared" si="97"/>
        <v>Unique</v>
      </c>
      <c r="AD664" t="str">
        <f t="shared" si="98"/>
        <v>Clean</v>
      </c>
    </row>
    <row r="665" spans="1:30" x14ac:dyDescent="0.3">
      <c r="A665" t="s">
        <v>2085</v>
      </c>
      <c r="B665" s="2">
        <v>45414</v>
      </c>
      <c r="C665" s="2">
        <v>45420</v>
      </c>
      <c r="D665" t="s">
        <v>2086</v>
      </c>
      <c r="E665" t="s">
        <v>127</v>
      </c>
      <c r="F665" t="s">
        <v>104</v>
      </c>
      <c r="G665" t="s">
        <v>47</v>
      </c>
      <c r="H665" t="s">
        <v>238</v>
      </c>
      <c r="I665" t="s">
        <v>239</v>
      </c>
      <c r="J665" t="s">
        <v>83</v>
      </c>
      <c r="K665" t="s">
        <v>89</v>
      </c>
      <c r="L665" t="s">
        <v>2087</v>
      </c>
      <c r="M665" t="s">
        <v>40</v>
      </c>
      <c r="N665">
        <v>2</v>
      </c>
      <c r="O665">
        <v>3185.01</v>
      </c>
      <c r="P665" s="3">
        <v>-0.24</v>
      </c>
      <c r="Q665">
        <v>4777.5200000000004</v>
      </c>
      <c r="R665">
        <v>3152.98</v>
      </c>
      <c r="S665">
        <v>1624.54</v>
      </c>
      <c r="T665" t="s">
        <v>41</v>
      </c>
      <c r="U665" t="s">
        <v>42</v>
      </c>
      <c r="V665" s="3">
        <f t="shared" si="90"/>
        <v>0.24</v>
      </c>
      <c r="W665">
        <f t="shared" si="91"/>
        <v>4841.2152000000006</v>
      </c>
      <c r="X665">
        <f t="shared" si="92"/>
        <v>1688.2352000000005</v>
      </c>
      <c r="Y665" s="4">
        <f t="shared" si="93"/>
        <v>0.34872137061785652</v>
      </c>
      <c r="Z665">
        <f t="shared" si="94"/>
        <v>6</v>
      </c>
      <c r="AA665">
        <f t="shared" si="95"/>
        <v>5</v>
      </c>
      <c r="AB665">
        <f t="shared" si="96"/>
        <v>2024</v>
      </c>
      <c r="AC665" t="str">
        <f t="shared" si="97"/>
        <v>Unique</v>
      </c>
      <c r="AD665" t="str">
        <f t="shared" si="98"/>
        <v>Invalid</v>
      </c>
    </row>
    <row r="666" spans="1:30" x14ac:dyDescent="0.3">
      <c r="A666" t="s">
        <v>2088</v>
      </c>
      <c r="B666" s="2">
        <v>45633</v>
      </c>
      <c r="C666" s="2">
        <v>45636</v>
      </c>
      <c r="D666" t="s">
        <v>2089</v>
      </c>
      <c r="E666" t="s">
        <v>45</v>
      </c>
      <c r="F666" t="s">
        <v>104</v>
      </c>
      <c r="G666" t="s">
        <v>63</v>
      </c>
      <c r="H666" t="s">
        <v>64</v>
      </c>
      <c r="I666" t="s">
        <v>65</v>
      </c>
      <c r="J666" t="s">
        <v>83</v>
      </c>
      <c r="K666" t="s">
        <v>84</v>
      </c>
      <c r="L666" t="s">
        <v>2090</v>
      </c>
      <c r="M666" t="s">
        <v>68</v>
      </c>
      <c r="N666">
        <v>1</v>
      </c>
      <c r="O666">
        <v>1908.83</v>
      </c>
      <c r="P666" s="3">
        <v>0.2</v>
      </c>
      <c r="Q666">
        <v>1527.06</v>
      </c>
      <c r="R666">
        <v>1055.8900000000001</v>
      </c>
      <c r="S666">
        <v>471.17</v>
      </c>
      <c r="T666" t="s">
        <v>41</v>
      </c>
      <c r="U666" t="s">
        <v>42</v>
      </c>
      <c r="V666" s="3">
        <f t="shared" si="90"/>
        <v>0.2</v>
      </c>
      <c r="W666">
        <f t="shared" si="91"/>
        <v>1527.0640000000001</v>
      </c>
      <c r="X666">
        <f t="shared" si="92"/>
        <v>471.17399999999998</v>
      </c>
      <c r="Y666" s="4">
        <f t="shared" si="93"/>
        <v>0.30854895407134209</v>
      </c>
      <c r="Z666">
        <f t="shared" si="94"/>
        <v>3</v>
      </c>
      <c r="AA666">
        <f t="shared" si="95"/>
        <v>12</v>
      </c>
      <c r="AB666">
        <f t="shared" si="96"/>
        <v>2024</v>
      </c>
      <c r="AC666" t="str">
        <f t="shared" si="97"/>
        <v>Unique</v>
      </c>
      <c r="AD666" t="str">
        <f t="shared" si="98"/>
        <v>Clean</v>
      </c>
    </row>
    <row r="667" spans="1:30" x14ac:dyDescent="0.3">
      <c r="A667" t="s">
        <v>2091</v>
      </c>
      <c r="B667" s="2">
        <v>45670</v>
      </c>
      <c r="C667" s="2">
        <v>45670</v>
      </c>
      <c r="D667" t="s">
        <v>2092</v>
      </c>
      <c r="E667" t="s">
        <v>127</v>
      </c>
      <c r="F667" t="s">
        <v>104</v>
      </c>
      <c r="G667" t="s">
        <v>72</v>
      </c>
      <c r="H667" t="s">
        <v>189</v>
      </c>
      <c r="I667" t="s">
        <v>190</v>
      </c>
      <c r="J667" t="s">
        <v>37</v>
      </c>
      <c r="K667" t="s">
        <v>57</v>
      </c>
      <c r="L667" t="s">
        <v>2093</v>
      </c>
      <c r="M667" t="s">
        <v>68</v>
      </c>
      <c r="N667">
        <v>3</v>
      </c>
      <c r="O667">
        <v>2110.52</v>
      </c>
      <c r="P667" s="3">
        <v>0.1</v>
      </c>
      <c r="Q667">
        <v>5698.4</v>
      </c>
      <c r="R667">
        <v>3640.89</v>
      </c>
      <c r="S667">
        <v>2057.5100000000002</v>
      </c>
      <c r="T667" t="s">
        <v>164</v>
      </c>
      <c r="U667" t="s">
        <v>77</v>
      </c>
      <c r="V667" s="3">
        <f t="shared" si="90"/>
        <v>0.1</v>
      </c>
      <c r="W667">
        <f t="shared" si="91"/>
        <v>5698.4039999999995</v>
      </c>
      <c r="X667">
        <f t="shared" si="92"/>
        <v>2057.5139999999997</v>
      </c>
      <c r="Y667" s="4">
        <f t="shared" si="93"/>
        <v>0.36106846759197836</v>
      </c>
      <c r="Z667">
        <f t="shared" si="94"/>
        <v>0</v>
      </c>
      <c r="AA667">
        <f t="shared" si="95"/>
        <v>1</v>
      </c>
      <c r="AB667">
        <f t="shared" si="96"/>
        <v>2025</v>
      </c>
      <c r="AC667" t="str">
        <f t="shared" si="97"/>
        <v>Unique</v>
      </c>
      <c r="AD667" t="str">
        <f t="shared" si="98"/>
        <v>Warning</v>
      </c>
    </row>
    <row r="668" spans="1:30" x14ac:dyDescent="0.3">
      <c r="A668" t="s">
        <v>2094</v>
      </c>
      <c r="B668" s="2">
        <v>45464</v>
      </c>
      <c r="C668" s="2">
        <v>45469</v>
      </c>
      <c r="D668" t="s">
        <v>2095</v>
      </c>
      <c r="E668" t="s">
        <v>150</v>
      </c>
      <c r="F668" t="s">
        <v>46</v>
      </c>
      <c r="G668" t="s">
        <v>34</v>
      </c>
      <c r="H668" t="s">
        <v>131</v>
      </c>
      <c r="I668" t="s">
        <v>132</v>
      </c>
      <c r="J668" t="s">
        <v>83</v>
      </c>
      <c r="K668" t="s">
        <v>89</v>
      </c>
      <c r="L668" t="s">
        <v>2096</v>
      </c>
      <c r="M668" t="s">
        <v>53</v>
      </c>
      <c r="N668">
        <v>1</v>
      </c>
      <c r="O668">
        <v>279.83</v>
      </c>
      <c r="P668" s="3">
        <v>0.05</v>
      </c>
      <c r="Q668">
        <v>265.83999999999997</v>
      </c>
      <c r="R668">
        <v>223.49</v>
      </c>
      <c r="S668">
        <v>42.35</v>
      </c>
      <c r="T668" t="s">
        <v>41</v>
      </c>
      <c r="U668" t="s">
        <v>42</v>
      </c>
      <c r="V668" s="3">
        <f t="shared" si="90"/>
        <v>0.05</v>
      </c>
      <c r="W668">
        <f t="shared" si="91"/>
        <v>265.83849999999995</v>
      </c>
      <c r="X668">
        <f t="shared" si="92"/>
        <v>42.348499999999945</v>
      </c>
      <c r="Y668" s="4">
        <f t="shared" si="93"/>
        <v>0.15930160605028976</v>
      </c>
      <c r="Z668">
        <f t="shared" si="94"/>
        <v>5</v>
      </c>
      <c r="AA668">
        <f t="shared" si="95"/>
        <v>6</v>
      </c>
      <c r="AB668">
        <f t="shared" si="96"/>
        <v>2024</v>
      </c>
      <c r="AC668" t="str">
        <f t="shared" si="97"/>
        <v>Unique</v>
      </c>
      <c r="AD668" t="str">
        <f t="shared" si="98"/>
        <v>Clean</v>
      </c>
    </row>
    <row r="669" spans="1:30" x14ac:dyDescent="0.3">
      <c r="A669" t="s">
        <v>2097</v>
      </c>
      <c r="B669" s="2">
        <v>45797</v>
      </c>
      <c r="C669" s="2">
        <v>45804</v>
      </c>
      <c r="D669" t="s">
        <v>2098</v>
      </c>
      <c r="E669" t="s">
        <v>171</v>
      </c>
      <c r="F669" t="s">
        <v>46</v>
      </c>
      <c r="G669" t="s">
        <v>47</v>
      </c>
      <c r="H669" t="s">
        <v>154</v>
      </c>
      <c r="I669" t="s">
        <v>155</v>
      </c>
      <c r="J669" t="s">
        <v>83</v>
      </c>
      <c r="K669" t="s">
        <v>284</v>
      </c>
      <c r="L669" t="s">
        <v>2099</v>
      </c>
      <c r="M669" t="s">
        <v>68</v>
      </c>
      <c r="N669">
        <v>1</v>
      </c>
      <c r="O669">
        <v>3959.14</v>
      </c>
      <c r="P669" s="3">
        <v>0</v>
      </c>
      <c r="Q669">
        <v>3959.14</v>
      </c>
      <c r="R669">
        <v>3239.53</v>
      </c>
      <c r="S669">
        <v>719.61</v>
      </c>
      <c r="T669" t="s">
        <v>120</v>
      </c>
      <c r="U669" t="s">
        <v>112</v>
      </c>
      <c r="V669" s="3">
        <f t="shared" si="90"/>
        <v>0</v>
      </c>
      <c r="W669">
        <f t="shared" si="91"/>
        <v>3959.14</v>
      </c>
      <c r="X669">
        <f t="shared" si="92"/>
        <v>719.60999999999967</v>
      </c>
      <c r="Y669" s="4">
        <f t="shared" si="93"/>
        <v>0.18175916992074029</v>
      </c>
      <c r="Z669">
        <f t="shared" si="94"/>
        <v>7</v>
      </c>
      <c r="AA669">
        <f t="shared" si="95"/>
        <v>5</v>
      </c>
      <c r="AB669">
        <f t="shared" si="96"/>
        <v>2025</v>
      </c>
      <c r="AC669" t="str">
        <f t="shared" si="97"/>
        <v>Unique</v>
      </c>
      <c r="AD669" t="str">
        <f t="shared" si="98"/>
        <v>Clean</v>
      </c>
    </row>
    <row r="670" spans="1:30" x14ac:dyDescent="0.3">
      <c r="A670" t="s">
        <v>2100</v>
      </c>
      <c r="B670" s="2">
        <v>45617</v>
      </c>
      <c r="C670" s="2">
        <v>45619</v>
      </c>
      <c r="D670" t="s">
        <v>2101</v>
      </c>
      <c r="E670" t="s">
        <v>45</v>
      </c>
      <c r="F670" t="s">
        <v>99</v>
      </c>
      <c r="G670" t="s">
        <v>72</v>
      </c>
      <c r="H670" t="s">
        <v>189</v>
      </c>
      <c r="I670" t="s">
        <v>190</v>
      </c>
      <c r="J670" t="s">
        <v>37</v>
      </c>
      <c r="K670" t="s">
        <v>38</v>
      </c>
      <c r="L670" t="s">
        <v>2102</v>
      </c>
      <c r="M670" t="s">
        <v>40</v>
      </c>
      <c r="N670">
        <v>5</v>
      </c>
      <c r="O670">
        <v>600.46</v>
      </c>
      <c r="P670" s="3">
        <v>0.2</v>
      </c>
      <c r="Q670">
        <v>2401.84</v>
      </c>
      <c r="R670">
        <v>1873.11</v>
      </c>
      <c r="S670">
        <v>528.73</v>
      </c>
      <c r="T670" t="s">
        <v>41</v>
      </c>
      <c r="U670" t="s">
        <v>42</v>
      </c>
      <c r="V670" s="3">
        <f t="shared" si="90"/>
        <v>0.2</v>
      </c>
      <c r="W670">
        <f t="shared" si="91"/>
        <v>2401.84</v>
      </c>
      <c r="X670">
        <f t="shared" si="92"/>
        <v>528.73000000000025</v>
      </c>
      <c r="Y670" s="4">
        <f t="shared" si="93"/>
        <v>0.22013539619624964</v>
      </c>
      <c r="Z670">
        <f t="shared" si="94"/>
        <v>2</v>
      </c>
      <c r="AA670">
        <f t="shared" si="95"/>
        <v>11</v>
      </c>
      <c r="AB670">
        <f t="shared" si="96"/>
        <v>2024</v>
      </c>
      <c r="AC670" t="str">
        <f t="shared" si="97"/>
        <v>Unique</v>
      </c>
      <c r="AD670" t="str">
        <f t="shared" si="98"/>
        <v>Clean</v>
      </c>
    </row>
    <row r="671" spans="1:30" x14ac:dyDescent="0.3">
      <c r="A671" t="s">
        <v>2103</v>
      </c>
      <c r="B671" s="2">
        <v>45375</v>
      </c>
      <c r="C671" s="2">
        <v>45383</v>
      </c>
      <c r="D671" t="s">
        <v>2104</v>
      </c>
      <c r="E671" t="s">
        <v>71</v>
      </c>
      <c r="F671" t="s">
        <v>104</v>
      </c>
      <c r="G671" t="s">
        <v>72</v>
      </c>
      <c r="H671" t="s">
        <v>73</v>
      </c>
      <c r="I671" t="s">
        <v>74</v>
      </c>
      <c r="J671" t="s">
        <v>50</v>
      </c>
      <c r="K671" t="s">
        <v>51</v>
      </c>
      <c r="L671" t="s">
        <v>2105</v>
      </c>
      <c r="M671" t="s">
        <v>40</v>
      </c>
      <c r="N671">
        <v>4</v>
      </c>
      <c r="O671">
        <v>1700.72</v>
      </c>
      <c r="P671" s="3">
        <v>0.25</v>
      </c>
      <c r="Q671">
        <v>5102.16</v>
      </c>
      <c r="R671">
        <v>3226.45</v>
      </c>
      <c r="S671">
        <v>1875.71</v>
      </c>
      <c r="T671" t="s">
        <v>41</v>
      </c>
      <c r="U671" t="s">
        <v>42</v>
      </c>
      <c r="V671" s="3">
        <f t="shared" si="90"/>
        <v>0.25</v>
      </c>
      <c r="W671">
        <f t="shared" si="91"/>
        <v>5102.16</v>
      </c>
      <c r="X671">
        <f t="shared" si="92"/>
        <v>1875.71</v>
      </c>
      <c r="Y671" s="4">
        <f t="shared" si="93"/>
        <v>0.36763057214983458</v>
      </c>
      <c r="Z671">
        <f t="shared" si="94"/>
        <v>8</v>
      </c>
      <c r="AA671">
        <f t="shared" si="95"/>
        <v>3</v>
      </c>
      <c r="AB671">
        <f t="shared" si="96"/>
        <v>2024</v>
      </c>
      <c r="AC671" t="str">
        <f t="shared" si="97"/>
        <v>Unique</v>
      </c>
      <c r="AD671" t="str">
        <f t="shared" si="98"/>
        <v>Clean</v>
      </c>
    </row>
    <row r="672" spans="1:30" x14ac:dyDescent="0.3">
      <c r="A672" t="s">
        <v>2106</v>
      </c>
      <c r="B672" s="2">
        <v>45690</v>
      </c>
      <c r="C672" s="2">
        <v>45694</v>
      </c>
      <c r="D672" t="s">
        <v>1608</v>
      </c>
      <c r="E672" t="s">
        <v>141</v>
      </c>
      <c r="F672" t="s">
        <v>99</v>
      </c>
      <c r="G672" t="s">
        <v>34</v>
      </c>
      <c r="H672" t="s">
        <v>145</v>
      </c>
      <c r="I672" t="s">
        <v>146</v>
      </c>
      <c r="J672" t="s">
        <v>50</v>
      </c>
      <c r="K672" t="s">
        <v>51</v>
      </c>
      <c r="L672" t="s">
        <v>2107</v>
      </c>
      <c r="M672" t="s">
        <v>68</v>
      </c>
      <c r="N672">
        <v>8</v>
      </c>
      <c r="O672">
        <v>857.86</v>
      </c>
      <c r="P672" s="3">
        <v>0.1</v>
      </c>
      <c r="Q672">
        <v>6176.59</v>
      </c>
      <c r="R672">
        <v>3560.96</v>
      </c>
      <c r="S672">
        <v>2615.63</v>
      </c>
      <c r="T672" t="s">
        <v>41</v>
      </c>
      <c r="U672" t="s">
        <v>42</v>
      </c>
      <c r="V672" s="3">
        <f t="shared" si="90"/>
        <v>0.1</v>
      </c>
      <c r="W672">
        <f t="shared" si="91"/>
        <v>6176.5920000000006</v>
      </c>
      <c r="X672">
        <f t="shared" si="92"/>
        <v>2615.6320000000005</v>
      </c>
      <c r="Y672" s="4">
        <f t="shared" si="93"/>
        <v>0.42347495188285067</v>
      </c>
      <c r="Z672">
        <f t="shared" si="94"/>
        <v>4</v>
      </c>
      <c r="AA672">
        <f t="shared" si="95"/>
        <v>2</v>
      </c>
      <c r="AB672">
        <f t="shared" si="96"/>
        <v>2025</v>
      </c>
      <c r="AC672" t="str">
        <f t="shared" si="97"/>
        <v>Unique</v>
      </c>
      <c r="AD672" t="str">
        <f t="shared" si="98"/>
        <v>Clean</v>
      </c>
    </row>
    <row r="673" spans="1:30" x14ac:dyDescent="0.3">
      <c r="A673" t="s">
        <v>2108</v>
      </c>
      <c r="B673" s="2">
        <v>45373</v>
      </c>
      <c r="C673" s="2">
        <v>45378</v>
      </c>
      <c r="D673" t="s">
        <v>2109</v>
      </c>
      <c r="E673" t="s">
        <v>98</v>
      </c>
      <c r="F673" t="s">
        <v>104</v>
      </c>
      <c r="G673" t="s">
        <v>72</v>
      </c>
      <c r="H673" t="s">
        <v>199</v>
      </c>
      <c r="I673" t="s">
        <v>200</v>
      </c>
      <c r="J673" t="s">
        <v>83</v>
      </c>
      <c r="K673" t="s">
        <v>89</v>
      </c>
      <c r="L673" t="s">
        <v>2110</v>
      </c>
      <c r="M673" t="s">
        <v>40</v>
      </c>
      <c r="N673">
        <v>9</v>
      </c>
      <c r="O673">
        <v>3649.51</v>
      </c>
      <c r="P673" s="3">
        <v>0.05</v>
      </c>
      <c r="Q673">
        <v>31203.31</v>
      </c>
      <c r="R673">
        <v>17738.13</v>
      </c>
      <c r="S673">
        <v>13465.18</v>
      </c>
      <c r="T673" t="s">
        <v>41</v>
      </c>
      <c r="U673" t="s">
        <v>42</v>
      </c>
      <c r="V673" s="3">
        <f t="shared" si="90"/>
        <v>0.05</v>
      </c>
      <c r="W673">
        <f t="shared" si="91"/>
        <v>31203.310500000003</v>
      </c>
      <c r="X673">
        <f t="shared" si="92"/>
        <v>13465.180500000002</v>
      </c>
      <c r="Y673" s="4">
        <f t="shared" si="93"/>
        <v>0.43153051020019179</v>
      </c>
      <c r="Z673">
        <f t="shared" si="94"/>
        <v>5</v>
      </c>
      <c r="AA673">
        <f t="shared" si="95"/>
        <v>3</v>
      </c>
      <c r="AB673">
        <f t="shared" si="96"/>
        <v>2024</v>
      </c>
      <c r="AC673" t="str">
        <f t="shared" si="97"/>
        <v>Unique</v>
      </c>
      <c r="AD673" t="str">
        <f t="shared" si="98"/>
        <v>Clean</v>
      </c>
    </row>
    <row r="674" spans="1:30" x14ac:dyDescent="0.3">
      <c r="A674" t="s">
        <v>2111</v>
      </c>
      <c r="B674" s="2">
        <v>45539</v>
      </c>
      <c r="C674" s="2">
        <v>45540</v>
      </c>
      <c r="D674" t="s">
        <v>2112</v>
      </c>
      <c r="E674" t="s">
        <v>98</v>
      </c>
      <c r="F674" t="s">
        <v>99</v>
      </c>
      <c r="G674" t="s">
        <v>72</v>
      </c>
      <c r="H674" t="s">
        <v>81</v>
      </c>
      <c r="I674" t="s">
        <v>82</v>
      </c>
      <c r="J674" t="s">
        <v>50</v>
      </c>
      <c r="K674" t="s">
        <v>75</v>
      </c>
      <c r="L674" t="s">
        <v>2113</v>
      </c>
      <c r="M674" t="s">
        <v>68</v>
      </c>
      <c r="N674">
        <v>5</v>
      </c>
      <c r="O674">
        <v>2528.5300000000002</v>
      </c>
      <c r="P674" s="3">
        <v>0.05</v>
      </c>
      <c r="Q674">
        <v>12010.52</v>
      </c>
      <c r="R674">
        <v>7864.61</v>
      </c>
      <c r="S674">
        <v>4145.91</v>
      </c>
      <c r="T674" t="s">
        <v>41</v>
      </c>
      <c r="U674" t="s">
        <v>112</v>
      </c>
      <c r="V674" s="3">
        <f t="shared" si="90"/>
        <v>0.05</v>
      </c>
      <c r="W674">
        <f t="shared" si="91"/>
        <v>12010.5175</v>
      </c>
      <c r="X674">
        <f t="shared" si="92"/>
        <v>4145.9075000000003</v>
      </c>
      <c r="Y674" s="4">
        <f t="shared" si="93"/>
        <v>0.34518974723612039</v>
      </c>
      <c r="Z674">
        <f t="shared" si="94"/>
        <v>1</v>
      </c>
      <c r="AA674">
        <f t="shared" si="95"/>
        <v>9</v>
      </c>
      <c r="AB674">
        <f t="shared" si="96"/>
        <v>2024</v>
      </c>
      <c r="AC674" t="str">
        <f t="shared" si="97"/>
        <v>Unique</v>
      </c>
      <c r="AD674" t="str">
        <f t="shared" si="98"/>
        <v>Clean</v>
      </c>
    </row>
    <row r="675" spans="1:30" x14ac:dyDescent="0.3">
      <c r="A675" t="s">
        <v>2114</v>
      </c>
      <c r="B675" s="2">
        <v>45701</v>
      </c>
      <c r="C675" s="2">
        <v>45704</v>
      </c>
      <c r="D675" t="s">
        <v>2115</v>
      </c>
      <c r="E675" t="s">
        <v>62</v>
      </c>
      <c r="F675" t="s">
        <v>46</v>
      </c>
      <c r="G675" t="s">
        <v>72</v>
      </c>
      <c r="H675" t="s">
        <v>35</v>
      </c>
      <c r="I675" t="s">
        <v>118</v>
      </c>
      <c r="J675" t="s">
        <v>50</v>
      </c>
      <c r="K675" t="s">
        <v>167</v>
      </c>
      <c r="L675" t="s">
        <v>2116</v>
      </c>
      <c r="M675" t="s">
        <v>40</v>
      </c>
      <c r="N675">
        <v>4</v>
      </c>
      <c r="O675">
        <v>4072.9</v>
      </c>
      <c r="P675" s="3">
        <v>0.15</v>
      </c>
      <c r="Q675">
        <v>13847.86</v>
      </c>
      <c r="R675">
        <v>8471.7800000000007</v>
      </c>
      <c r="S675">
        <v>5376.08</v>
      </c>
      <c r="T675" t="s">
        <v>41</v>
      </c>
      <c r="U675" t="s">
        <v>42</v>
      </c>
      <c r="V675" s="3">
        <f t="shared" si="90"/>
        <v>0.15</v>
      </c>
      <c r="W675">
        <f t="shared" si="91"/>
        <v>13847.86</v>
      </c>
      <c r="X675">
        <f t="shared" si="92"/>
        <v>5376.08</v>
      </c>
      <c r="Y675" s="4">
        <f t="shared" si="93"/>
        <v>0.38822460654570451</v>
      </c>
      <c r="Z675">
        <f t="shared" si="94"/>
        <v>3</v>
      </c>
      <c r="AA675">
        <f t="shared" si="95"/>
        <v>2</v>
      </c>
      <c r="AB675">
        <f t="shared" si="96"/>
        <v>2025</v>
      </c>
      <c r="AC675" t="str">
        <f t="shared" si="97"/>
        <v>Unique</v>
      </c>
      <c r="AD675" t="str">
        <f t="shared" si="98"/>
        <v>Clean</v>
      </c>
    </row>
    <row r="676" spans="1:30" x14ac:dyDescent="0.3">
      <c r="A676" t="s">
        <v>2117</v>
      </c>
      <c r="B676" s="2">
        <v>45430</v>
      </c>
      <c r="C676" s="2">
        <v>45433</v>
      </c>
      <c r="D676" t="s">
        <v>2118</v>
      </c>
      <c r="E676" t="s">
        <v>80</v>
      </c>
      <c r="F676" t="s">
        <v>99</v>
      </c>
      <c r="G676" t="s">
        <v>47</v>
      </c>
      <c r="H676" t="s">
        <v>238</v>
      </c>
      <c r="I676" t="s">
        <v>239</v>
      </c>
      <c r="J676" t="s">
        <v>83</v>
      </c>
      <c r="K676" t="s">
        <v>84</v>
      </c>
      <c r="L676" t="s">
        <v>2119</v>
      </c>
      <c r="M676" t="s">
        <v>40</v>
      </c>
      <c r="N676">
        <v>1</v>
      </c>
      <c r="O676">
        <v>1033.71</v>
      </c>
      <c r="P676" s="3">
        <v>0</v>
      </c>
      <c r="Q676">
        <v>1033.71</v>
      </c>
      <c r="R676">
        <v>630.82000000000005</v>
      </c>
      <c r="S676">
        <v>402.89</v>
      </c>
      <c r="T676" t="s">
        <v>120</v>
      </c>
      <c r="U676" t="s">
        <v>112</v>
      </c>
      <c r="V676" s="3">
        <f t="shared" si="90"/>
        <v>0</v>
      </c>
      <c r="W676">
        <f t="shared" si="91"/>
        <v>1033.71</v>
      </c>
      <c r="X676">
        <f t="shared" si="92"/>
        <v>402.89</v>
      </c>
      <c r="Y676" s="4">
        <f t="shared" si="93"/>
        <v>0.38975147768716562</v>
      </c>
      <c r="Z676">
        <f t="shared" si="94"/>
        <v>3</v>
      </c>
      <c r="AA676">
        <f t="shared" si="95"/>
        <v>5</v>
      </c>
      <c r="AB676">
        <f t="shared" si="96"/>
        <v>2024</v>
      </c>
      <c r="AC676" t="str">
        <f t="shared" si="97"/>
        <v>Unique</v>
      </c>
      <c r="AD676" t="str">
        <f t="shared" si="98"/>
        <v>Clean</v>
      </c>
    </row>
    <row r="677" spans="1:30" x14ac:dyDescent="0.3">
      <c r="A677" t="s">
        <v>2120</v>
      </c>
      <c r="B677" s="2">
        <v>45815</v>
      </c>
      <c r="C677" s="2">
        <v>45818</v>
      </c>
      <c r="D677" t="s">
        <v>2021</v>
      </c>
      <c r="E677" t="s">
        <v>137</v>
      </c>
      <c r="F677" t="s">
        <v>33</v>
      </c>
      <c r="G677" t="s">
        <v>34</v>
      </c>
      <c r="H677" t="s">
        <v>35</v>
      </c>
      <c r="I677" t="s">
        <v>36</v>
      </c>
      <c r="J677" t="s">
        <v>50</v>
      </c>
      <c r="K677" t="s">
        <v>66</v>
      </c>
      <c r="L677" t="s">
        <v>2121</v>
      </c>
      <c r="M677" t="s">
        <v>53</v>
      </c>
      <c r="N677">
        <v>3</v>
      </c>
      <c r="O677">
        <v>963.26</v>
      </c>
      <c r="P677" s="3">
        <v>0</v>
      </c>
      <c r="Q677">
        <v>2889.78</v>
      </c>
      <c r="R677">
        <v>1811.23</v>
      </c>
      <c r="S677">
        <v>1078.55</v>
      </c>
      <c r="T677" t="s">
        <v>41</v>
      </c>
      <c r="U677" t="s">
        <v>42</v>
      </c>
      <c r="V677" s="3">
        <f t="shared" si="90"/>
        <v>0</v>
      </c>
      <c r="W677">
        <f t="shared" si="91"/>
        <v>2889.7799999999997</v>
      </c>
      <c r="X677">
        <f t="shared" si="92"/>
        <v>1078.5499999999997</v>
      </c>
      <c r="Y677" s="4">
        <f t="shared" si="93"/>
        <v>0.37322910394562903</v>
      </c>
      <c r="Z677">
        <f t="shared" si="94"/>
        <v>3</v>
      </c>
      <c r="AA677">
        <f t="shared" si="95"/>
        <v>6</v>
      </c>
      <c r="AB677">
        <f t="shared" si="96"/>
        <v>2025</v>
      </c>
      <c r="AC677" t="str">
        <f t="shared" si="97"/>
        <v>Unique</v>
      </c>
      <c r="AD677" t="str">
        <f t="shared" si="98"/>
        <v>Clean</v>
      </c>
    </row>
    <row r="678" spans="1:30" x14ac:dyDescent="0.3">
      <c r="A678" t="s">
        <v>2122</v>
      </c>
      <c r="B678" s="2">
        <v>45911</v>
      </c>
      <c r="C678" s="2">
        <v>45918</v>
      </c>
      <c r="D678" t="s">
        <v>2123</v>
      </c>
      <c r="E678" t="s">
        <v>127</v>
      </c>
      <c r="F678" t="s">
        <v>46</v>
      </c>
      <c r="G678" t="s">
        <v>34</v>
      </c>
      <c r="H678" t="s">
        <v>360</v>
      </c>
      <c r="I678" t="s">
        <v>361</v>
      </c>
      <c r="J678" t="s">
        <v>83</v>
      </c>
      <c r="K678" t="s">
        <v>180</v>
      </c>
      <c r="L678" t="s">
        <v>2124</v>
      </c>
      <c r="M678" t="s">
        <v>53</v>
      </c>
      <c r="N678">
        <v>7</v>
      </c>
      <c r="O678">
        <v>3411.21</v>
      </c>
      <c r="P678" s="3">
        <v>0.15</v>
      </c>
      <c r="Q678">
        <v>20296.7</v>
      </c>
      <c r="R678">
        <v>14920.87</v>
      </c>
      <c r="S678">
        <v>5375.83</v>
      </c>
      <c r="T678" t="s">
        <v>41</v>
      </c>
      <c r="U678" t="s">
        <v>42</v>
      </c>
      <c r="V678" s="3">
        <f t="shared" si="90"/>
        <v>0.15</v>
      </c>
      <c r="W678">
        <f t="shared" si="91"/>
        <v>20296.699499999999</v>
      </c>
      <c r="X678">
        <f t="shared" si="92"/>
        <v>5375.829499999998</v>
      </c>
      <c r="Y678" s="4">
        <f t="shared" si="93"/>
        <v>0.26486225014071862</v>
      </c>
      <c r="Z678">
        <f t="shared" si="94"/>
        <v>7</v>
      </c>
      <c r="AA678">
        <f t="shared" si="95"/>
        <v>9</v>
      </c>
      <c r="AB678">
        <f t="shared" si="96"/>
        <v>2025</v>
      </c>
      <c r="AC678" t="str">
        <f t="shared" si="97"/>
        <v>Unique</v>
      </c>
      <c r="AD678" t="str">
        <f t="shared" si="98"/>
        <v>Clean</v>
      </c>
    </row>
    <row r="679" spans="1:30" x14ac:dyDescent="0.3">
      <c r="A679" t="s">
        <v>2125</v>
      </c>
      <c r="B679" s="2">
        <v>45465</v>
      </c>
      <c r="C679" s="2">
        <v>45470</v>
      </c>
      <c r="D679" t="s">
        <v>31</v>
      </c>
      <c r="E679" t="s">
        <v>56</v>
      </c>
      <c r="F679" t="s">
        <v>104</v>
      </c>
      <c r="G679" t="s">
        <v>63</v>
      </c>
      <c r="H679" t="s">
        <v>184</v>
      </c>
      <c r="I679" t="s">
        <v>185</v>
      </c>
      <c r="J679" t="s">
        <v>50</v>
      </c>
      <c r="K679" t="s">
        <v>75</v>
      </c>
      <c r="L679" t="s">
        <v>2126</v>
      </c>
      <c r="M679" t="s">
        <v>53</v>
      </c>
      <c r="N679">
        <v>7</v>
      </c>
      <c r="O679">
        <v>2623.48</v>
      </c>
      <c r="P679" s="3">
        <v>0</v>
      </c>
      <c r="Q679">
        <v>18364.36</v>
      </c>
      <c r="R679">
        <v>15445.81</v>
      </c>
      <c r="S679">
        <v>2918.55</v>
      </c>
      <c r="T679" t="s">
        <v>41</v>
      </c>
      <c r="U679" t="s">
        <v>42</v>
      </c>
      <c r="V679" s="3">
        <f t="shared" si="90"/>
        <v>0</v>
      </c>
      <c r="W679">
        <f t="shared" si="91"/>
        <v>18364.36</v>
      </c>
      <c r="X679">
        <f t="shared" si="92"/>
        <v>2918.5500000000011</v>
      </c>
      <c r="Y679" s="4">
        <f t="shared" si="93"/>
        <v>0.15892467801763857</v>
      </c>
      <c r="Z679">
        <f t="shared" si="94"/>
        <v>5</v>
      </c>
      <c r="AA679">
        <f t="shared" si="95"/>
        <v>6</v>
      </c>
      <c r="AB679">
        <f t="shared" si="96"/>
        <v>2024</v>
      </c>
      <c r="AC679" t="str">
        <f t="shared" si="97"/>
        <v>Unique</v>
      </c>
      <c r="AD679" t="str">
        <f t="shared" si="98"/>
        <v>Clean</v>
      </c>
    </row>
    <row r="680" spans="1:30" x14ac:dyDescent="0.3">
      <c r="A680" t="s">
        <v>2127</v>
      </c>
      <c r="B680" s="2">
        <v>45620</v>
      </c>
      <c r="C680" s="2">
        <v>45627</v>
      </c>
      <c r="D680" t="s">
        <v>2128</v>
      </c>
      <c r="E680" t="s">
        <v>274</v>
      </c>
      <c r="F680" t="s">
        <v>99</v>
      </c>
      <c r="G680" t="s">
        <v>63</v>
      </c>
      <c r="H680" t="s">
        <v>184</v>
      </c>
      <c r="I680" t="s">
        <v>185</v>
      </c>
      <c r="J680" t="s">
        <v>50</v>
      </c>
      <c r="K680" t="s">
        <v>51</v>
      </c>
      <c r="L680" t="s">
        <v>2129</v>
      </c>
      <c r="M680" t="s">
        <v>40</v>
      </c>
      <c r="N680">
        <v>9</v>
      </c>
      <c r="O680">
        <v>2763.61</v>
      </c>
      <c r="P680" s="3">
        <v>0.15</v>
      </c>
      <c r="Q680">
        <v>21141.62</v>
      </c>
      <c r="R680">
        <v>11676.33</v>
      </c>
      <c r="S680">
        <v>9465.2900000000009</v>
      </c>
      <c r="T680" t="s">
        <v>41</v>
      </c>
      <c r="U680" t="s">
        <v>42</v>
      </c>
      <c r="V680" s="3">
        <f t="shared" si="90"/>
        <v>0.15</v>
      </c>
      <c r="W680">
        <f t="shared" si="91"/>
        <v>21141.6165</v>
      </c>
      <c r="X680">
        <f t="shared" si="92"/>
        <v>9465.2865000000002</v>
      </c>
      <c r="Y680" s="4">
        <f t="shared" si="93"/>
        <v>0.44770874071999178</v>
      </c>
      <c r="Z680">
        <f t="shared" si="94"/>
        <v>7</v>
      </c>
      <c r="AA680">
        <f t="shared" si="95"/>
        <v>11</v>
      </c>
      <c r="AB680">
        <f t="shared" si="96"/>
        <v>2024</v>
      </c>
      <c r="AC680" t="str">
        <f t="shared" si="97"/>
        <v>Unique</v>
      </c>
      <c r="AD680" t="str">
        <f t="shared" si="98"/>
        <v>Clean</v>
      </c>
    </row>
    <row r="681" spans="1:30" x14ac:dyDescent="0.3">
      <c r="A681" t="s">
        <v>2130</v>
      </c>
      <c r="B681" s="2">
        <v>45885</v>
      </c>
      <c r="C681" s="2">
        <v>45892</v>
      </c>
      <c r="D681" t="s">
        <v>2131</v>
      </c>
      <c r="E681" t="s">
        <v>150</v>
      </c>
      <c r="F681" t="s">
        <v>99</v>
      </c>
      <c r="G681" t="s">
        <v>34</v>
      </c>
      <c r="H681" t="s">
        <v>131</v>
      </c>
      <c r="I681" t="s">
        <v>132</v>
      </c>
      <c r="J681" t="s">
        <v>83</v>
      </c>
      <c r="K681" t="s">
        <v>89</v>
      </c>
      <c r="L681" t="s">
        <v>2132</v>
      </c>
      <c r="M681" t="s">
        <v>53</v>
      </c>
      <c r="N681">
        <v>4</v>
      </c>
      <c r="O681">
        <v>1410.57</v>
      </c>
      <c r="P681" s="3" t="s">
        <v>473</v>
      </c>
      <c r="Q681">
        <v>5360.17</v>
      </c>
      <c r="R681">
        <v>3881.51</v>
      </c>
      <c r="S681">
        <v>1478.66</v>
      </c>
      <c r="T681" t="s">
        <v>111</v>
      </c>
      <c r="U681" t="s">
        <v>77</v>
      </c>
      <c r="V681" s="3">
        <f t="shared" si="90"/>
        <v>0.7</v>
      </c>
      <c r="W681">
        <f t="shared" si="91"/>
        <v>1692.6840000000002</v>
      </c>
      <c r="X681">
        <f t="shared" si="92"/>
        <v>-2188.826</v>
      </c>
      <c r="Y681" s="4">
        <f t="shared" si="93"/>
        <v>-1.2931096412561351</v>
      </c>
      <c r="Z681">
        <f t="shared" si="94"/>
        <v>7</v>
      </c>
      <c r="AA681">
        <f t="shared" si="95"/>
        <v>8</v>
      </c>
      <c r="AB681">
        <f t="shared" si="96"/>
        <v>2025</v>
      </c>
      <c r="AC681" t="str">
        <f t="shared" si="97"/>
        <v>Unique</v>
      </c>
      <c r="AD681" t="str">
        <f t="shared" si="98"/>
        <v>Invalid</v>
      </c>
    </row>
    <row r="682" spans="1:30" x14ac:dyDescent="0.3">
      <c r="A682" t="s">
        <v>2133</v>
      </c>
      <c r="B682" s="2">
        <v>45441</v>
      </c>
      <c r="C682" s="2">
        <v>45448</v>
      </c>
      <c r="D682" t="s">
        <v>2134</v>
      </c>
      <c r="E682" t="s">
        <v>274</v>
      </c>
      <c r="F682" t="s">
        <v>99</v>
      </c>
      <c r="G682" t="s">
        <v>63</v>
      </c>
      <c r="H682" t="s">
        <v>257</v>
      </c>
      <c r="I682" t="s">
        <v>258</v>
      </c>
      <c r="J682" t="s">
        <v>83</v>
      </c>
      <c r="K682" t="s">
        <v>84</v>
      </c>
      <c r="L682" t="s">
        <v>2135</v>
      </c>
      <c r="M682" t="s">
        <v>59</v>
      </c>
      <c r="N682">
        <v>4</v>
      </c>
      <c r="O682">
        <v>3700.24</v>
      </c>
      <c r="P682" s="3">
        <v>0</v>
      </c>
      <c r="Q682">
        <v>14800.96</v>
      </c>
      <c r="R682">
        <v>12048.39</v>
      </c>
      <c r="S682">
        <v>2752.57</v>
      </c>
      <c r="T682" t="s">
        <v>41</v>
      </c>
      <c r="U682" t="s">
        <v>42</v>
      </c>
      <c r="V682" s="3">
        <f t="shared" si="90"/>
        <v>0</v>
      </c>
      <c r="W682">
        <f t="shared" si="91"/>
        <v>14800.96</v>
      </c>
      <c r="X682">
        <f t="shared" si="92"/>
        <v>2752.5699999999997</v>
      </c>
      <c r="Y682" s="4">
        <f t="shared" si="93"/>
        <v>0.18597239638509933</v>
      </c>
      <c r="Z682">
        <f t="shared" si="94"/>
        <v>7</v>
      </c>
      <c r="AA682">
        <f t="shared" si="95"/>
        <v>5</v>
      </c>
      <c r="AB682">
        <f t="shared" si="96"/>
        <v>2024</v>
      </c>
      <c r="AC682" t="str">
        <f t="shared" si="97"/>
        <v>Unique</v>
      </c>
      <c r="AD682" t="str">
        <f t="shared" si="98"/>
        <v>Clean</v>
      </c>
    </row>
    <row r="683" spans="1:30" x14ac:dyDescent="0.3">
      <c r="A683" t="s">
        <v>2136</v>
      </c>
      <c r="B683" s="2">
        <v>45477</v>
      </c>
      <c r="C683" s="2">
        <v>45483</v>
      </c>
      <c r="D683" t="s">
        <v>2137</v>
      </c>
      <c r="E683" t="s">
        <v>80</v>
      </c>
      <c r="F683" t="s">
        <v>99</v>
      </c>
      <c r="G683" t="s">
        <v>34</v>
      </c>
      <c r="H683" t="s">
        <v>360</v>
      </c>
      <c r="I683" t="s">
        <v>361</v>
      </c>
      <c r="J683" t="s">
        <v>50</v>
      </c>
      <c r="K683" t="s">
        <v>51</v>
      </c>
      <c r="L683" t="s">
        <v>2138</v>
      </c>
      <c r="M683" t="s">
        <v>40</v>
      </c>
      <c r="N683">
        <v>5</v>
      </c>
      <c r="O683">
        <v>1200.27</v>
      </c>
      <c r="P683" s="3">
        <v>0</v>
      </c>
      <c r="Q683">
        <v>6001.35</v>
      </c>
      <c r="R683">
        <v>4182.99</v>
      </c>
      <c r="S683">
        <v>1818.36</v>
      </c>
      <c r="T683" t="s">
        <v>41</v>
      </c>
      <c r="U683" t="s">
        <v>77</v>
      </c>
      <c r="V683" s="3">
        <f t="shared" si="90"/>
        <v>0</v>
      </c>
      <c r="W683">
        <f t="shared" si="91"/>
        <v>6001.35</v>
      </c>
      <c r="X683">
        <f t="shared" si="92"/>
        <v>1818.3600000000006</v>
      </c>
      <c r="Y683" s="4">
        <f t="shared" si="93"/>
        <v>0.30299182683896131</v>
      </c>
      <c r="Z683">
        <f t="shared" si="94"/>
        <v>6</v>
      </c>
      <c r="AA683">
        <f t="shared" si="95"/>
        <v>7</v>
      </c>
      <c r="AB683">
        <f t="shared" si="96"/>
        <v>2024</v>
      </c>
      <c r="AC683" t="str">
        <f t="shared" si="97"/>
        <v>Unique</v>
      </c>
      <c r="AD683" t="str">
        <f t="shared" si="98"/>
        <v>Warning</v>
      </c>
    </row>
    <row r="684" spans="1:30" x14ac:dyDescent="0.3">
      <c r="A684" t="s">
        <v>2139</v>
      </c>
      <c r="B684" s="2">
        <v>45693</v>
      </c>
      <c r="C684" s="2">
        <v>45693</v>
      </c>
      <c r="D684" t="s">
        <v>2140</v>
      </c>
      <c r="E684" t="s">
        <v>71</v>
      </c>
      <c r="F684" t="s">
        <v>99</v>
      </c>
      <c r="G684" t="s">
        <v>34</v>
      </c>
      <c r="H684" t="s">
        <v>246</v>
      </c>
      <c r="I684" t="s">
        <v>247</v>
      </c>
      <c r="J684" t="s">
        <v>37</v>
      </c>
      <c r="K684" t="s">
        <v>133</v>
      </c>
      <c r="L684" t="s">
        <v>2141</v>
      </c>
      <c r="M684" t="s">
        <v>53</v>
      </c>
      <c r="N684">
        <v>3</v>
      </c>
      <c r="O684">
        <v>2590.7800000000002</v>
      </c>
      <c r="P684" s="3"/>
      <c r="Q684">
        <v>7383.72</v>
      </c>
      <c r="R684">
        <v>4113.66</v>
      </c>
      <c r="S684">
        <v>3270.06</v>
      </c>
      <c r="T684" t="s">
        <v>41</v>
      </c>
      <c r="U684" t="s">
        <v>42</v>
      </c>
      <c r="V684" s="3">
        <f t="shared" si="90"/>
        <v>0</v>
      </c>
      <c r="W684">
        <f t="shared" si="91"/>
        <v>7772.34</v>
      </c>
      <c r="X684">
        <f t="shared" si="92"/>
        <v>3658.6800000000003</v>
      </c>
      <c r="Y684" s="4">
        <f t="shared" si="93"/>
        <v>0.47073082237781677</v>
      </c>
      <c r="Z684">
        <f t="shared" si="94"/>
        <v>0</v>
      </c>
      <c r="AA684">
        <f t="shared" si="95"/>
        <v>2</v>
      </c>
      <c r="AB684">
        <f t="shared" si="96"/>
        <v>2025</v>
      </c>
      <c r="AC684" t="str">
        <f t="shared" si="97"/>
        <v>Unique</v>
      </c>
      <c r="AD684" t="str">
        <f t="shared" si="98"/>
        <v>Clean</v>
      </c>
    </row>
    <row r="685" spans="1:30" x14ac:dyDescent="0.3">
      <c r="A685" t="s">
        <v>2142</v>
      </c>
      <c r="B685" s="2">
        <v>45858</v>
      </c>
      <c r="C685" s="2">
        <v>45862</v>
      </c>
      <c r="D685" t="s">
        <v>2143</v>
      </c>
      <c r="E685" t="s">
        <v>62</v>
      </c>
      <c r="F685" t="s">
        <v>46</v>
      </c>
      <c r="G685" t="s">
        <v>63</v>
      </c>
      <c r="H685" t="s">
        <v>64</v>
      </c>
      <c r="I685" t="s">
        <v>65</v>
      </c>
      <c r="J685" t="s">
        <v>50</v>
      </c>
      <c r="K685" t="s">
        <v>66</v>
      </c>
      <c r="L685" t="s">
        <v>2144</v>
      </c>
      <c r="M685" t="s">
        <v>40</v>
      </c>
      <c r="N685">
        <v>6</v>
      </c>
      <c r="O685">
        <v>1646.45</v>
      </c>
      <c r="P685" s="3">
        <v>0.2</v>
      </c>
      <c r="Q685">
        <v>7902.96</v>
      </c>
      <c r="R685">
        <v>5512.03</v>
      </c>
      <c r="S685">
        <v>2390.9299999999998</v>
      </c>
      <c r="T685" t="s">
        <v>111</v>
      </c>
      <c r="U685" t="s">
        <v>77</v>
      </c>
      <c r="V685" s="3">
        <f t="shared" si="90"/>
        <v>0.2</v>
      </c>
      <c r="W685">
        <f t="shared" si="91"/>
        <v>7902.9600000000009</v>
      </c>
      <c r="X685">
        <f t="shared" si="92"/>
        <v>2390.9300000000012</v>
      </c>
      <c r="Y685" s="4">
        <f t="shared" si="93"/>
        <v>0.30253601182341816</v>
      </c>
      <c r="Z685">
        <f t="shared" si="94"/>
        <v>4</v>
      </c>
      <c r="AA685">
        <f t="shared" si="95"/>
        <v>7</v>
      </c>
      <c r="AB685">
        <f t="shared" si="96"/>
        <v>2025</v>
      </c>
      <c r="AC685" t="str">
        <f t="shared" si="97"/>
        <v>Unique</v>
      </c>
      <c r="AD685" t="str">
        <f t="shared" si="98"/>
        <v>Warning</v>
      </c>
    </row>
    <row r="686" spans="1:30" x14ac:dyDescent="0.3">
      <c r="A686" t="s">
        <v>2145</v>
      </c>
      <c r="B686" s="2">
        <v>45859</v>
      </c>
      <c r="C686" s="2">
        <v>45859</v>
      </c>
      <c r="D686" t="s">
        <v>2146</v>
      </c>
      <c r="E686" t="s">
        <v>56</v>
      </c>
      <c r="F686" t="s">
        <v>104</v>
      </c>
      <c r="G686" t="s">
        <v>63</v>
      </c>
      <c r="H686" t="s">
        <v>257</v>
      </c>
      <c r="I686" t="s">
        <v>258</v>
      </c>
      <c r="J686" t="s">
        <v>50</v>
      </c>
      <c r="K686" t="s">
        <v>167</v>
      </c>
      <c r="L686" t="s">
        <v>2147</v>
      </c>
      <c r="M686" t="s">
        <v>59</v>
      </c>
      <c r="N686">
        <v>7</v>
      </c>
      <c r="O686">
        <v>4396.6499999999996</v>
      </c>
      <c r="P686" s="3">
        <v>0.2</v>
      </c>
      <c r="Q686">
        <v>24621.24</v>
      </c>
      <c r="R686">
        <v>17155.48</v>
      </c>
      <c r="S686">
        <v>7465.76</v>
      </c>
      <c r="T686" t="s">
        <v>111</v>
      </c>
      <c r="U686" t="s">
        <v>77</v>
      </c>
      <c r="V686" s="3">
        <f t="shared" si="90"/>
        <v>0.2</v>
      </c>
      <c r="W686">
        <f t="shared" si="91"/>
        <v>24621.239999999998</v>
      </c>
      <c r="X686">
        <f t="shared" si="92"/>
        <v>7465.7599999999984</v>
      </c>
      <c r="Y686" s="4">
        <f t="shared" si="93"/>
        <v>0.3032243705028666</v>
      </c>
      <c r="Z686">
        <f t="shared" si="94"/>
        <v>0</v>
      </c>
      <c r="AA686">
        <f t="shared" si="95"/>
        <v>7</v>
      </c>
      <c r="AB686">
        <f t="shared" si="96"/>
        <v>2025</v>
      </c>
      <c r="AC686" t="str">
        <f t="shared" si="97"/>
        <v>Unique</v>
      </c>
      <c r="AD686" t="str">
        <f t="shared" si="98"/>
        <v>Warning</v>
      </c>
    </row>
    <row r="687" spans="1:30" x14ac:dyDescent="0.3">
      <c r="A687" t="s">
        <v>2148</v>
      </c>
      <c r="B687" s="2">
        <v>45931</v>
      </c>
      <c r="C687" s="2">
        <v>45933</v>
      </c>
      <c r="D687" t="s">
        <v>1814</v>
      </c>
      <c r="E687" t="s">
        <v>88</v>
      </c>
      <c r="F687" t="s">
        <v>99</v>
      </c>
      <c r="G687" t="s">
        <v>72</v>
      </c>
      <c r="H687" t="s">
        <v>199</v>
      </c>
      <c r="I687" t="s">
        <v>200</v>
      </c>
      <c r="J687" t="s">
        <v>37</v>
      </c>
      <c r="K687" t="s">
        <v>57</v>
      </c>
      <c r="L687" t="s">
        <v>2149</v>
      </c>
      <c r="M687" t="s">
        <v>68</v>
      </c>
      <c r="N687">
        <v>9</v>
      </c>
      <c r="O687">
        <v>818.15</v>
      </c>
      <c r="P687" s="3">
        <v>0.55000000000000004</v>
      </c>
      <c r="Q687">
        <v>6627.01</v>
      </c>
      <c r="R687">
        <v>5606.79</v>
      </c>
      <c r="S687">
        <v>1020.22</v>
      </c>
      <c r="T687" t="s">
        <v>164</v>
      </c>
      <c r="U687" t="s">
        <v>77</v>
      </c>
      <c r="V687" s="3">
        <f t="shared" si="90"/>
        <v>0.55000000000000004</v>
      </c>
      <c r="W687">
        <f t="shared" si="91"/>
        <v>3313.5074999999993</v>
      </c>
      <c r="X687">
        <f t="shared" si="92"/>
        <v>-2293.2825000000007</v>
      </c>
      <c r="Y687" s="4">
        <f t="shared" si="93"/>
        <v>-0.69210119488185895</v>
      </c>
      <c r="Z687">
        <f t="shared" si="94"/>
        <v>2</v>
      </c>
      <c r="AA687">
        <f t="shared" si="95"/>
        <v>10</v>
      </c>
      <c r="AB687">
        <f t="shared" si="96"/>
        <v>2025</v>
      </c>
      <c r="AC687" t="str">
        <f t="shared" si="97"/>
        <v>Unique</v>
      </c>
      <c r="AD687" t="str">
        <f t="shared" si="98"/>
        <v>Warning</v>
      </c>
    </row>
    <row r="688" spans="1:30" x14ac:dyDescent="0.3">
      <c r="A688" t="s">
        <v>2150</v>
      </c>
      <c r="B688" s="2">
        <v>45376</v>
      </c>
      <c r="C688" s="2">
        <v>45384</v>
      </c>
      <c r="D688" t="s">
        <v>2151</v>
      </c>
      <c r="E688" t="s">
        <v>141</v>
      </c>
      <c r="F688" t="s">
        <v>104</v>
      </c>
      <c r="G688" t="s">
        <v>63</v>
      </c>
      <c r="H688" t="s">
        <v>257</v>
      </c>
      <c r="I688" t="s">
        <v>258</v>
      </c>
      <c r="J688" t="s">
        <v>83</v>
      </c>
      <c r="K688" t="s">
        <v>89</v>
      </c>
      <c r="L688" t="s">
        <v>2152</v>
      </c>
      <c r="M688" t="s">
        <v>68</v>
      </c>
      <c r="N688">
        <v>2</v>
      </c>
      <c r="O688">
        <v>2349.13</v>
      </c>
      <c r="P688" s="3">
        <v>0</v>
      </c>
      <c r="Q688">
        <v>4698.26</v>
      </c>
      <c r="R688">
        <v>2654.92</v>
      </c>
      <c r="S688">
        <v>2043.34</v>
      </c>
      <c r="T688" t="s">
        <v>41</v>
      </c>
      <c r="U688" t="s">
        <v>42</v>
      </c>
      <c r="V688" s="3">
        <f t="shared" si="90"/>
        <v>0</v>
      </c>
      <c r="W688">
        <f t="shared" si="91"/>
        <v>4698.26</v>
      </c>
      <c r="X688">
        <f t="shared" si="92"/>
        <v>2043.3400000000001</v>
      </c>
      <c r="Y688" s="4">
        <f t="shared" si="93"/>
        <v>0.43491420227914163</v>
      </c>
      <c r="Z688">
        <f t="shared" si="94"/>
        <v>8</v>
      </c>
      <c r="AA688">
        <f t="shared" si="95"/>
        <v>3</v>
      </c>
      <c r="AB688">
        <f t="shared" si="96"/>
        <v>2024</v>
      </c>
      <c r="AC688" t="str">
        <f t="shared" si="97"/>
        <v>Unique</v>
      </c>
      <c r="AD688" t="str">
        <f t="shared" si="98"/>
        <v>Clean</v>
      </c>
    </row>
    <row r="689" spans="1:30" x14ac:dyDescent="0.3">
      <c r="A689" t="s">
        <v>2153</v>
      </c>
      <c r="B689" s="2">
        <v>45938</v>
      </c>
      <c r="C689" s="2">
        <v>45943</v>
      </c>
      <c r="D689" t="s">
        <v>2154</v>
      </c>
      <c r="E689" t="s">
        <v>45</v>
      </c>
      <c r="F689" t="s">
        <v>104</v>
      </c>
      <c r="G689" t="s">
        <v>34</v>
      </c>
      <c r="H689" t="s">
        <v>131</v>
      </c>
      <c r="I689" t="s">
        <v>132</v>
      </c>
      <c r="J689" t="s">
        <v>50</v>
      </c>
      <c r="K689" t="s">
        <v>51</v>
      </c>
      <c r="L689" t="s">
        <v>2155</v>
      </c>
      <c r="M689" t="s">
        <v>59</v>
      </c>
      <c r="N689">
        <v>4</v>
      </c>
      <c r="O689">
        <v>172.05</v>
      </c>
      <c r="P689" s="3">
        <v>0</v>
      </c>
      <c r="Q689">
        <v>688.2</v>
      </c>
      <c r="R689">
        <v>497.68</v>
      </c>
      <c r="S689">
        <v>190.52</v>
      </c>
      <c r="T689" t="s">
        <v>164</v>
      </c>
      <c r="U689" t="s">
        <v>77</v>
      </c>
      <c r="V689" s="3">
        <f t="shared" si="90"/>
        <v>0</v>
      </c>
      <c r="W689">
        <f t="shared" si="91"/>
        <v>688.2</v>
      </c>
      <c r="X689">
        <f t="shared" si="92"/>
        <v>190.52000000000004</v>
      </c>
      <c r="Y689" s="4">
        <f t="shared" si="93"/>
        <v>0.27683812845103173</v>
      </c>
      <c r="Z689">
        <f t="shared" si="94"/>
        <v>5</v>
      </c>
      <c r="AA689">
        <f t="shared" si="95"/>
        <v>10</v>
      </c>
      <c r="AB689">
        <f t="shared" si="96"/>
        <v>2025</v>
      </c>
      <c r="AC689" t="str">
        <f t="shared" si="97"/>
        <v>Unique</v>
      </c>
      <c r="AD689" t="str">
        <f t="shared" si="98"/>
        <v>Warning</v>
      </c>
    </row>
    <row r="690" spans="1:30" x14ac:dyDescent="0.3">
      <c r="A690" t="s">
        <v>2156</v>
      </c>
      <c r="B690" s="2">
        <v>45714</v>
      </c>
      <c r="C690" s="2">
        <v>45715</v>
      </c>
      <c r="D690" t="s">
        <v>2157</v>
      </c>
      <c r="E690" t="s">
        <v>88</v>
      </c>
      <c r="F690" t="s">
        <v>104</v>
      </c>
      <c r="G690" t="s">
        <v>34</v>
      </c>
      <c r="H690" t="s">
        <v>246</v>
      </c>
      <c r="I690" t="s">
        <v>247</v>
      </c>
      <c r="J690" t="s">
        <v>37</v>
      </c>
      <c r="K690" t="s">
        <v>57</v>
      </c>
      <c r="L690" t="s">
        <v>2158</v>
      </c>
      <c r="M690" t="s">
        <v>40</v>
      </c>
      <c r="N690">
        <v>6</v>
      </c>
      <c r="O690">
        <v>3037.66</v>
      </c>
      <c r="P690" s="3">
        <v>0.15</v>
      </c>
      <c r="Q690">
        <v>15492.07</v>
      </c>
      <c r="R690">
        <v>12581.23</v>
      </c>
      <c r="S690">
        <v>2910.84</v>
      </c>
      <c r="T690" t="s">
        <v>41</v>
      </c>
      <c r="U690" t="s">
        <v>42</v>
      </c>
      <c r="V690" s="3">
        <f t="shared" si="90"/>
        <v>0.15</v>
      </c>
      <c r="W690">
        <f t="shared" si="91"/>
        <v>15492.065999999999</v>
      </c>
      <c r="X690">
        <f t="shared" si="92"/>
        <v>2910.8359999999993</v>
      </c>
      <c r="Y690" s="4">
        <f t="shared" si="93"/>
        <v>0.18789204745190213</v>
      </c>
      <c r="Z690">
        <f t="shared" si="94"/>
        <v>1</v>
      </c>
      <c r="AA690">
        <f t="shared" si="95"/>
        <v>2</v>
      </c>
      <c r="AB690">
        <f t="shared" si="96"/>
        <v>2025</v>
      </c>
      <c r="AC690" t="str">
        <f t="shared" si="97"/>
        <v>Unique</v>
      </c>
      <c r="AD690" t="str">
        <f t="shared" si="98"/>
        <v>Clean</v>
      </c>
    </row>
    <row r="691" spans="1:30" x14ac:dyDescent="0.3">
      <c r="A691" t="s">
        <v>2159</v>
      </c>
      <c r="B691" s="2">
        <v>45570</v>
      </c>
      <c r="C691" s="2">
        <v>45571</v>
      </c>
      <c r="D691" t="s">
        <v>2160</v>
      </c>
      <c r="E691" t="s">
        <v>150</v>
      </c>
      <c r="F691" t="s">
        <v>46</v>
      </c>
      <c r="G691" t="s">
        <v>34</v>
      </c>
      <c r="H691" t="s">
        <v>131</v>
      </c>
      <c r="I691" t="s">
        <v>132</v>
      </c>
      <c r="J691" t="s">
        <v>50</v>
      </c>
      <c r="K691" t="s">
        <v>51</v>
      </c>
      <c r="L691" t="s">
        <v>2161</v>
      </c>
      <c r="M691" t="s">
        <v>68</v>
      </c>
      <c r="N691">
        <v>9</v>
      </c>
      <c r="O691">
        <v>489.58</v>
      </c>
      <c r="P691" s="3">
        <v>0.15</v>
      </c>
      <c r="Q691">
        <v>3745.29</v>
      </c>
      <c r="R691">
        <v>2302.65</v>
      </c>
      <c r="S691">
        <v>1442.64</v>
      </c>
      <c r="T691" t="s">
        <v>164</v>
      </c>
      <c r="U691" t="s">
        <v>77</v>
      </c>
      <c r="V691" s="3">
        <f t="shared" si="90"/>
        <v>0.15</v>
      </c>
      <c r="W691">
        <f t="shared" si="91"/>
        <v>3745.2870000000003</v>
      </c>
      <c r="X691">
        <f t="shared" si="92"/>
        <v>1442.6370000000002</v>
      </c>
      <c r="Y691" s="4">
        <f t="shared" si="93"/>
        <v>0.38518730340291679</v>
      </c>
      <c r="Z691">
        <f t="shared" si="94"/>
        <v>1</v>
      </c>
      <c r="AA691">
        <f t="shared" si="95"/>
        <v>10</v>
      </c>
      <c r="AB691">
        <f t="shared" si="96"/>
        <v>2024</v>
      </c>
      <c r="AC691" t="str">
        <f t="shared" si="97"/>
        <v>Unique</v>
      </c>
      <c r="AD691" t="str">
        <f t="shared" si="98"/>
        <v>Warning</v>
      </c>
    </row>
    <row r="692" spans="1:30" x14ac:dyDescent="0.3">
      <c r="A692" t="s">
        <v>2162</v>
      </c>
      <c r="B692" s="2">
        <v>45546</v>
      </c>
      <c r="C692" s="2">
        <v>45550</v>
      </c>
      <c r="D692" t="s">
        <v>2163</v>
      </c>
      <c r="E692" t="s">
        <v>141</v>
      </c>
      <c r="F692" t="s">
        <v>99</v>
      </c>
      <c r="G692" t="s">
        <v>63</v>
      </c>
      <c r="H692" t="s">
        <v>257</v>
      </c>
      <c r="I692" t="s">
        <v>258</v>
      </c>
      <c r="J692" t="s">
        <v>37</v>
      </c>
      <c r="K692" t="s">
        <v>57</v>
      </c>
      <c r="L692" t="s">
        <v>2164</v>
      </c>
      <c r="M692" t="s">
        <v>68</v>
      </c>
      <c r="N692">
        <v>4</v>
      </c>
      <c r="O692">
        <v>865.63</v>
      </c>
      <c r="P692" s="3">
        <v>0</v>
      </c>
      <c r="Q692">
        <v>3462.52</v>
      </c>
      <c r="R692">
        <v>2797.29</v>
      </c>
      <c r="S692">
        <v>665.23</v>
      </c>
      <c r="T692" t="s">
        <v>164</v>
      </c>
      <c r="U692" t="s">
        <v>112</v>
      </c>
      <c r="V692" s="3">
        <f t="shared" si="90"/>
        <v>0</v>
      </c>
      <c r="W692">
        <f t="shared" si="91"/>
        <v>3462.52</v>
      </c>
      <c r="X692">
        <f t="shared" si="92"/>
        <v>665.23</v>
      </c>
      <c r="Y692" s="4">
        <f t="shared" si="93"/>
        <v>0.19212307798944123</v>
      </c>
      <c r="Z692">
        <f t="shared" si="94"/>
        <v>4</v>
      </c>
      <c r="AA692">
        <f t="shared" si="95"/>
        <v>9</v>
      </c>
      <c r="AB692">
        <f t="shared" si="96"/>
        <v>2024</v>
      </c>
      <c r="AC692" t="str">
        <f t="shared" si="97"/>
        <v>Unique</v>
      </c>
      <c r="AD692" t="str">
        <f t="shared" si="98"/>
        <v>Warning</v>
      </c>
    </row>
    <row r="693" spans="1:30" x14ac:dyDescent="0.3">
      <c r="A693" t="s">
        <v>2165</v>
      </c>
      <c r="B693" s="2">
        <v>45641</v>
      </c>
      <c r="C693" s="2">
        <v>45642</v>
      </c>
      <c r="D693" t="s">
        <v>2166</v>
      </c>
      <c r="E693" t="s">
        <v>150</v>
      </c>
      <c r="F693" t="s">
        <v>33</v>
      </c>
      <c r="G693" t="s">
        <v>47</v>
      </c>
      <c r="H693" t="s">
        <v>48</v>
      </c>
      <c r="I693" t="s">
        <v>49</v>
      </c>
      <c r="J693" t="s">
        <v>83</v>
      </c>
      <c r="K693" t="s">
        <v>89</v>
      </c>
      <c r="L693" t="s">
        <v>2167</v>
      </c>
      <c r="M693" t="s">
        <v>40</v>
      </c>
      <c r="N693">
        <v>6</v>
      </c>
      <c r="O693">
        <v>1538.1</v>
      </c>
      <c r="P693" s="3">
        <v>0.05</v>
      </c>
      <c r="Q693">
        <v>8767.17</v>
      </c>
      <c r="R693">
        <v>5098.2</v>
      </c>
      <c r="S693">
        <v>3668.97</v>
      </c>
      <c r="T693" t="s">
        <v>41</v>
      </c>
      <c r="U693" t="s">
        <v>42</v>
      </c>
      <c r="V693" s="3">
        <f t="shared" si="90"/>
        <v>0.05</v>
      </c>
      <c r="W693">
        <f t="shared" si="91"/>
        <v>8767.1699999999983</v>
      </c>
      <c r="X693">
        <f t="shared" si="92"/>
        <v>3668.9699999999984</v>
      </c>
      <c r="Y693" s="4">
        <f t="shared" si="93"/>
        <v>0.41848966085977563</v>
      </c>
      <c r="Z693">
        <f t="shared" si="94"/>
        <v>1</v>
      </c>
      <c r="AA693">
        <f t="shared" si="95"/>
        <v>12</v>
      </c>
      <c r="AB693">
        <f t="shared" si="96"/>
        <v>2024</v>
      </c>
      <c r="AC693" t="str">
        <f t="shared" si="97"/>
        <v>Unique</v>
      </c>
      <c r="AD693" t="str">
        <f t="shared" si="98"/>
        <v>Clean</v>
      </c>
    </row>
    <row r="694" spans="1:30" x14ac:dyDescent="0.3">
      <c r="A694" t="s">
        <v>2168</v>
      </c>
      <c r="B694" s="2">
        <v>45935</v>
      </c>
      <c r="C694" s="2">
        <v>45940</v>
      </c>
      <c r="D694" t="s">
        <v>2169</v>
      </c>
      <c r="E694" t="s">
        <v>56</v>
      </c>
      <c r="F694" t="s">
        <v>99</v>
      </c>
      <c r="G694" t="s">
        <v>63</v>
      </c>
      <c r="H694" t="s">
        <v>184</v>
      </c>
      <c r="I694" t="s">
        <v>185</v>
      </c>
      <c r="J694" t="s">
        <v>50</v>
      </c>
      <c r="K694" t="s">
        <v>66</v>
      </c>
      <c r="L694" t="s">
        <v>2170</v>
      </c>
      <c r="M694" t="s">
        <v>40</v>
      </c>
      <c r="N694">
        <v>4</v>
      </c>
      <c r="O694">
        <v>2365.6799999999998</v>
      </c>
      <c r="P694" s="3">
        <v>0.1</v>
      </c>
      <c r="Q694">
        <v>8516.4500000000007</v>
      </c>
      <c r="R694">
        <v>5903.81</v>
      </c>
      <c r="S694">
        <v>2612.64</v>
      </c>
      <c r="T694" t="s">
        <v>41</v>
      </c>
      <c r="U694" t="s">
        <v>42</v>
      </c>
      <c r="V694" s="3">
        <f t="shared" si="90"/>
        <v>0.1</v>
      </c>
      <c r="W694">
        <f t="shared" si="91"/>
        <v>8516.4480000000003</v>
      </c>
      <c r="X694">
        <f t="shared" si="92"/>
        <v>2612.6379999999999</v>
      </c>
      <c r="Y694" s="4">
        <f t="shared" si="93"/>
        <v>0.30677554774009069</v>
      </c>
      <c r="Z694">
        <f t="shared" si="94"/>
        <v>5</v>
      </c>
      <c r="AA694">
        <f t="shared" si="95"/>
        <v>10</v>
      </c>
      <c r="AB694">
        <f t="shared" si="96"/>
        <v>2025</v>
      </c>
      <c r="AC694" t="str">
        <f t="shared" si="97"/>
        <v>Unique</v>
      </c>
      <c r="AD694" t="str">
        <f t="shared" si="98"/>
        <v>Clean</v>
      </c>
    </row>
    <row r="695" spans="1:30" x14ac:dyDescent="0.3">
      <c r="A695" t="s">
        <v>2171</v>
      </c>
      <c r="B695" s="2">
        <v>45750</v>
      </c>
      <c r="C695" s="2">
        <v>45758</v>
      </c>
      <c r="D695" t="s">
        <v>2172</v>
      </c>
      <c r="E695" t="s">
        <v>62</v>
      </c>
      <c r="F695" t="s">
        <v>33</v>
      </c>
      <c r="G695" t="s">
        <v>63</v>
      </c>
      <c r="H695" t="s">
        <v>257</v>
      </c>
      <c r="I695" t="s">
        <v>258</v>
      </c>
      <c r="J695" t="s">
        <v>50</v>
      </c>
      <c r="K695" t="s">
        <v>167</v>
      </c>
      <c r="L695" t="s">
        <v>2173</v>
      </c>
      <c r="M695" t="s">
        <v>40</v>
      </c>
      <c r="N695">
        <v>3</v>
      </c>
      <c r="O695">
        <v>4149.7700000000004</v>
      </c>
      <c r="P695" s="3">
        <v>0.05</v>
      </c>
      <c r="Q695">
        <v>11826.84</v>
      </c>
      <c r="R695">
        <v>8035.96</v>
      </c>
      <c r="S695">
        <v>3790.88</v>
      </c>
      <c r="T695" t="s">
        <v>41</v>
      </c>
      <c r="U695" t="s">
        <v>42</v>
      </c>
      <c r="V695" s="3">
        <f t="shared" si="90"/>
        <v>0.05</v>
      </c>
      <c r="W695">
        <f t="shared" si="91"/>
        <v>11826.844500000001</v>
      </c>
      <c r="X695">
        <f t="shared" si="92"/>
        <v>3790.884500000001</v>
      </c>
      <c r="Y695" s="4">
        <f t="shared" si="93"/>
        <v>0.32053220112938835</v>
      </c>
      <c r="Z695">
        <f t="shared" si="94"/>
        <v>8</v>
      </c>
      <c r="AA695">
        <f t="shared" si="95"/>
        <v>4</v>
      </c>
      <c r="AB695">
        <f t="shared" si="96"/>
        <v>2025</v>
      </c>
      <c r="AC695" t="str">
        <f t="shared" si="97"/>
        <v>Unique</v>
      </c>
      <c r="AD695" t="str">
        <f t="shared" si="98"/>
        <v>Clean</v>
      </c>
    </row>
    <row r="696" spans="1:30" x14ac:dyDescent="0.3">
      <c r="A696" t="s">
        <v>2174</v>
      </c>
      <c r="B696" s="2">
        <v>45870</v>
      </c>
      <c r="C696" s="2">
        <v>45878</v>
      </c>
      <c r="D696" t="s">
        <v>1147</v>
      </c>
      <c r="E696" t="s">
        <v>56</v>
      </c>
      <c r="F696" t="s">
        <v>33</v>
      </c>
      <c r="G696" t="s">
        <v>63</v>
      </c>
      <c r="H696" t="s">
        <v>93</v>
      </c>
      <c r="I696" t="s">
        <v>94</v>
      </c>
      <c r="J696" t="s">
        <v>37</v>
      </c>
      <c r="K696" t="s">
        <v>133</v>
      </c>
      <c r="L696" t="s">
        <v>2175</v>
      </c>
      <c r="M696" t="s">
        <v>59</v>
      </c>
      <c r="N696">
        <v>5</v>
      </c>
      <c r="O696">
        <v>2736.24</v>
      </c>
      <c r="P696" s="3">
        <v>0.15</v>
      </c>
      <c r="Q696">
        <v>11629.02</v>
      </c>
      <c r="R696">
        <v>9627.2099999999991</v>
      </c>
      <c r="S696">
        <v>2001.81</v>
      </c>
      <c r="T696" t="s">
        <v>41</v>
      </c>
      <c r="U696" t="s">
        <v>42</v>
      </c>
      <c r="V696" s="3">
        <f t="shared" si="90"/>
        <v>0.15</v>
      </c>
      <c r="W696">
        <f t="shared" si="91"/>
        <v>11629.019999999999</v>
      </c>
      <c r="X696">
        <f t="shared" si="92"/>
        <v>2001.8099999999995</v>
      </c>
      <c r="Y696" s="4">
        <f t="shared" si="93"/>
        <v>0.17213918283741877</v>
      </c>
      <c r="Z696">
        <f t="shared" si="94"/>
        <v>8</v>
      </c>
      <c r="AA696">
        <f t="shared" si="95"/>
        <v>8</v>
      </c>
      <c r="AB696">
        <f t="shared" si="96"/>
        <v>2025</v>
      </c>
      <c r="AC696" t="str">
        <f t="shared" si="97"/>
        <v>Unique</v>
      </c>
      <c r="AD696" t="str">
        <f t="shared" si="98"/>
        <v>Clean</v>
      </c>
    </row>
    <row r="697" spans="1:30" x14ac:dyDescent="0.3">
      <c r="A697" t="s">
        <v>2176</v>
      </c>
      <c r="B697" s="2">
        <v>45474</v>
      </c>
      <c r="C697" s="2">
        <v>45474</v>
      </c>
      <c r="D697" t="s">
        <v>2177</v>
      </c>
      <c r="E697" t="s">
        <v>137</v>
      </c>
      <c r="F697" t="s">
        <v>33</v>
      </c>
      <c r="G697" t="s">
        <v>72</v>
      </c>
      <c r="H697" t="s">
        <v>81</v>
      </c>
      <c r="I697" t="s">
        <v>82</v>
      </c>
      <c r="J697" t="s">
        <v>83</v>
      </c>
      <c r="K697" t="s">
        <v>284</v>
      </c>
      <c r="L697" t="s">
        <v>2178</v>
      </c>
      <c r="M697" t="s">
        <v>68</v>
      </c>
      <c r="N697">
        <v>4</v>
      </c>
      <c r="O697">
        <v>257.39</v>
      </c>
      <c r="P697" s="3">
        <v>0</v>
      </c>
      <c r="Q697">
        <v>1029.56</v>
      </c>
      <c r="R697">
        <v>626.33000000000004</v>
      </c>
      <c r="S697">
        <v>403.23</v>
      </c>
      <c r="T697" t="s">
        <v>41</v>
      </c>
      <c r="U697" t="s">
        <v>42</v>
      </c>
      <c r="V697" s="3">
        <f t="shared" si="90"/>
        <v>0</v>
      </c>
      <c r="W697">
        <f t="shared" si="91"/>
        <v>1029.56</v>
      </c>
      <c r="X697">
        <f t="shared" si="92"/>
        <v>403.2299999999999</v>
      </c>
      <c r="Y697" s="4">
        <f t="shared" si="93"/>
        <v>0.39165274486188267</v>
      </c>
      <c r="Z697">
        <f t="shared" si="94"/>
        <v>0</v>
      </c>
      <c r="AA697">
        <f t="shared" si="95"/>
        <v>7</v>
      </c>
      <c r="AB697">
        <f t="shared" si="96"/>
        <v>2024</v>
      </c>
      <c r="AC697" t="str">
        <f t="shared" si="97"/>
        <v>Unique</v>
      </c>
      <c r="AD697" t="str">
        <f t="shared" si="98"/>
        <v>Clean</v>
      </c>
    </row>
    <row r="698" spans="1:30" x14ac:dyDescent="0.3">
      <c r="A698" t="s">
        <v>2179</v>
      </c>
      <c r="B698" s="2">
        <v>45922</v>
      </c>
      <c r="C698" s="2">
        <v>45925</v>
      </c>
      <c r="D698" t="s">
        <v>2180</v>
      </c>
      <c r="E698" t="s">
        <v>56</v>
      </c>
      <c r="F698" t="s">
        <v>46</v>
      </c>
      <c r="G698" t="s">
        <v>63</v>
      </c>
      <c r="H698" t="s">
        <v>194</v>
      </c>
      <c r="I698" t="s">
        <v>195</v>
      </c>
      <c r="J698" t="s">
        <v>83</v>
      </c>
      <c r="K698" t="s">
        <v>180</v>
      </c>
      <c r="L698" t="s">
        <v>2181</v>
      </c>
      <c r="M698" t="s">
        <v>214</v>
      </c>
      <c r="N698">
        <v>4</v>
      </c>
      <c r="O698">
        <v>1178.8399999999999</v>
      </c>
      <c r="P698" s="3">
        <v>0.25</v>
      </c>
      <c r="Q698">
        <v>3536.52</v>
      </c>
      <c r="R698">
        <v>2102.41</v>
      </c>
      <c r="S698">
        <v>1363.28</v>
      </c>
      <c r="T698" t="s">
        <v>41</v>
      </c>
      <c r="U698" t="s">
        <v>42</v>
      </c>
      <c r="V698" s="3">
        <f t="shared" si="90"/>
        <v>0.25</v>
      </c>
      <c r="W698">
        <f t="shared" si="91"/>
        <v>3536.5199999999995</v>
      </c>
      <c r="X698">
        <f t="shared" si="92"/>
        <v>1434.1099999999997</v>
      </c>
      <c r="Y698" s="4">
        <f t="shared" si="93"/>
        <v>0.40551446054313278</v>
      </c>
      <c r="Z698">
        <f t="shared" si="94"/>
        <v>3</v>
      </c>
      <c r="AA698">
        <f t="shared" si="95"/>
        <v>9</v>
      </c>
      <c r="AB698">
        <f t="shared" si="96"/>
        <v>2025</v>
      </c>
      <c r="AC698" t="str">
        <f t="shared" si="97"/>
        <v>Unique</v>
      </c>
      <c r="AD698" t="str">
        <f t="shared" si="98"/>
        <v>Warning</v>
      </c>
    </row>
    <row r="699" spans="1:30" x14ac:dyDescent="0.3">
      <c r="A699" t="s">
        <v>2182</v>
      </c>
      <c r="B699" s="2">
        <v>45717</v>
      </c>
      <c r="C699" s="2">
        <v>45723</v>
      </c>
      <c r="D699" t="s">
        <v>2183</v>
      </c>
      <c r="E699" t="s">
        <v>62</v>
      </c>
      <c r="F699" t="s">
        <v>99</v>
      </c>
      <c r="G699" t="s">
        <v>63</v>
      </c>
      <c r="H699" t="s">
        <v>93</v>
      </c>
      <c r="I699" t="s">
        <v>94</v>
      </c>
      <c r="J699" t="s">
        <v>37</v>
      </c>
      <c r="K699" t="s">
        <v>100</v>
      </c>
      <c r="L699" t="s">
        <v>2184</v>
      </c>
      <c r="M699" t="s">
        <v>59</v>
      </c>
      <c r="N699">
        <v>7</v>
      </c>
      <c r="O699">
        <v>567.15</v>
      </c>
      <c r="P699" s="3"/>
      <c r="Q699">
        <v>2977.54</v>
      </c>
      <c r="R699">
        <v>1849.3</v>
      </c>
      <c r="S699">
        <v>1128.24</v>
      </c>
      <c r="T699" t="s">
        <v>111</v>
      </c>
      <c r="U699" t="s">
        <v>112</v>
      </c>
      <c r="V699" s="3">
        <f t="shared" si="90"/>
        <v>0</v>
      </c>
      <c r="W699">
        <f t="shared" si="91"/>
        <v>3970.0499999999997</v>
      </c>
      <c r="X699">
        <f t="shared" si="92"/>
        <v>2120.75</v>
      </c>
      <c r="Y699" s="4">
        <f t="shared" si="93"/>
        <v>0.53418722686112274</v>
      </c>
      <c r="Z699">
        <f t="shared" si="94"/>
        <v>6</v>
      </c>
      <c r="AA699">
        <f t="shared" si="95"/>
        <v>3</v>
      </c>
      <c r="AB699">
        <f t="shared" si="96"/>
        <v>2025</v>
      </c>
      <c r="AC699" t="str">
        <f t="shared" si="97"/>
        <v>Unique</v>
      </c>
      <c r="AD699" t="str">
        <f t="shared" si="98"/>
        <v>Clean</v>
      </c>
    </row>
    <row r="700" spans="1:30" x14ac:dyDescent="0.3">
      <c r="A700" t="s">
        <v>2185</v>
      </c>
      <c r="B700" s="2">
        <v>45549</v>
      </c>
      <c r="C700" s="2">
        <v>45549</v>
      </c>
      <c r="D700" t="s">
        <v>2186</v>
      </c>
      <c r="E700" t="s">
        <v>45</v>
      </c>
      <c r="F700" t="s">
        <v>99</v>
      </c>
      <c r="G700" t="s">
        <v>34</v>
      </c>
      <c r="H700" t="s">
        <v>35</v>
      </c>
      <c r="I700" t="s">
        <v>36</v>
      </c>
      <c r="J700" t="s">
        <v>83</v>
      </c>
      <c r="K700" t="s">
        <v>284</v>
      </c>
      <c r="L700" t="s">
        <v>2187</v>
      </c>
      <c r="M700" t="s">
        <v>68</v>
      </c>
      <c r="N700">
        <v>8</v>
      </c>
      <c r="O700">
        <v>4081.66</v>
      </c>
      <c r="P700" s="3">
        <v>0.15</v>
      </c>
      <c r="Q700">
        <v>28208.1</v>
      </c>
      <c r="R700">
        <v>23751.91</v>
      </c>
      <c r="S700">
        <v>4003.38</v>
      </c>
      <c r="T700" t="s">
        <v>41</v>
      </c>
      <c r="U700" t="s">
        <v>112</v>
      </c>
      <c r="V700" s="3">
        <f t="shared" si="90"/>
        <v>0.15</v>
      </c>
      <c r="W700">
        <f t="shared" si="91"/>
        <v>27755.287999999997</v>
      </c>
      <c r="X700">
        <f t="shared" si="92"/>
        <v>4003.377999999997</v>
      </c>
      <c r="Y700" s="4">
        <f t="shared" si="93"/>
        <v>0.14423838801456493</v>
      </c>
      <c r="Z700">
        <f t="shared" si="94"/>
        <v>0</v>
      </c>
      <c r="AA700">
        <f t="shared" si="95"/>
        <v>9</v>
      </c>
      <c r="AB700">
        <f t="shared" si="96"/>
        <v>2024</v>
      </c>
      <c r="AC700" t="str">
        <f t="shared" si="97"/>
        <v>Unique</v>
      </c>
      <c r="AD700" t="str">
        <f t="shared" si="98"/>
        <v>Clean</v>
      </c>
    </row>
    <row r="701" spans="1:30" x14ac:dyDescent="0.3">
      <c r="A701" t="s">
        <v>2188</v>
      </c>
      <c r="B701" s="2">
        <v>45454</v>
      </c>
      <c r="C701" s="2">
        <v>45454</v>
      </c>
      <c r="D701" t="s">
        <v>2189</v>
      </c>
      <c r="E701" t="s">
        <v>62</v>
      </c>
      <c r="F701" t="s">
        <v>46</v>
      </c>
      <c r="G701" t="s">
        <v>63</v>
      </c>
      <c r="H701" t="s">
        <v>184</v>
      </c>
      <c r="I701" t="s">
        <v>185</v>
      </c>
      <c r="J701" t="s">
        <v>50</v>
      </c>
      <c r="K701" t="s">
        <v>167</v>
      </c>
      <c r="L701" t="s">
        <v>2190</v>
      </c>
      <c r="M701" t="s">
        <v>68</v>
      </c>
      <c r="N701">
        <v>9</v>
      </c>
      <c r="O701">
        <v>1400.11</v>
      </c>
      <c r="P701" s="3">
        <v>0.25</v>
      </c>
      <c r="Q701">
        <v>9450.74</v>
      </c>
      <c r="R701">
        <v>7798.56</v>
      </c>
      <c r="S701">
        <v>1652.18</v>
      </c>
      <c r="T701" t="s">
        <v>41</v>
      </c>
      <c r="U701" t="s">
        <v>42</v>
      </c>
      <c r="V701" s="3">
        <f t="shared" si="90"/>
        <v>0.25</v>
      </c>
      <c r="W701">
        <f t="shared" si="91"/>
        <v>9450.7425000000003</v>
      </c>
      <c r="X701">
        <f t="shared" si="92"/>
        <v>1652.1824999999999</v>
      </c>
      <c r="Y701" s="4">
        <f t="shared" si="93"/>
        <v>0.17482039109625511</v>
      </c>
      <c r="Z701">
        <f t="shared" si="94"/>
        <v>0</v>
      </c>
      <c r="AA701">
        <f t="shared" si="95"/>
        <v>6</v>
      </c>
      <c r="AB701">
        <f t="shared" si="96"/>
        <v>2024</v>
      </c>
      <c r="AC701" t="str">
        <f t="shared" si="97"/>
        <v>Unique</v>
      </c>
      <c r="AD701" t="str">
        <f t="shared" si="98"/>
        <v>Clean</v>
      </c>
    </row>
    <row r="702" spans="1:30" x14ac:dyDescent="0.3">
      <c r="A702" t="s">
        <v>2191</v>
      </c>
      <c r="B702" s="2">
        <v>45553</v>
      </c>
      <c r="C702" s="2">
        <v>45556</v>
      </c>
      <c r="D702" t="s">
        <v>2192</v>
      </c>
      <c r="E702" t="s">
        <v>88</v>
      </c>
      <c r="F702" t="s">
        <v>99</v>
      </c>
      <c r="G702" t="s">
        <v>47</v>
      </c>
      <c r="H702" t="s">
        <v>108</v>
      </c>
      <c r="I702" t="s">
        <v>109</v>
      </c>
      <c r="J702" t="s">
        <v>83</v>
      </c>
      <c r="K702" t="s">
        <v>284</v>
      </c>
      <c r="L702" t="s">
        <v>2193</v>
      </c>
      <c r="M702" t="s">
        <v>68</v>
      </c>
      <c r="N702">
        <v>3</v>
      </c>
      <c r="O702">
        <v>3055.9</v>
      </c>
      <c r="P702" s="3">
        <v>0.15</v>
      </c>
      <c r="Q702">
        <v>7792.55</v>
      </c>
      <c r="R702">
        <v>4691.7299999999996</v>
      </c>
      <c r="S702">
        <v>3100.82</v>
      </c>
      <c r="T702" t="s">
        <v>41</v>
      </c>
      <c r="U702" t="s">
        <v>42</v>
      </c>
      <c r="V702" s="3">
        <f t="shared" si="90"/>
        <v>0.15</v>
      </c>
      <c r="W702">
        <f t="shared" si="91"/>
        <v>7792.5450000000001</v>
      </c>
      <c r="X702">
        <f t="shared" si="92"/>
        <v>3100.8150000000005</v>
      </c>
      <c r="Y702" s="4">
        <f t="shared" si="93"/>
        <v>0.39792070498149201</v>
      </c>
      <c r="Z702">
        <f t="shared" si="94"/>
        <v>3</v>
      </c>
      <c r="AA702">
        <f t="shared" si="95"/>
        <v>9</v>
      </c>
      <c r="AB702">
        <f t="shared" si="96"/>
        <v>2024</v>
      </c>
      <c r="AC702" t="str">
        <f t="shared" si="97"/>
        <v>Unique</v>
      </c>
      <c r="AD702" t="str">
        <f t="shared" si="98"/>
        <v>Clean</v>
      </c>
    </row>
    <row r="703" spans="1:30" x14ac:dyDescent="0.3">
      <c r="A703" t="s">
        <v>2194</v>
      </c>
      <c r="B703" s="2">
        <v>45412</v>
      </c>
      <c r="C703" s="2">
        <v>45416</v>
      </c>
      <c r="D703" t="s">
        <v>2195</v>
      </c>
      <c r="E703" t="s">
        <v>150</v>
      </c>
      <c r="F703" t="s">
        <v>46</v>
      </c>
      <c r="G703" t="s">
        <v>72</v>
      </c>
      <c r="H703" t="s">
        <v>189</v>
      </c>
      <c r="I703" t="s">
        <v>190</v>
      </c>
      <c r="J703" t="s">
        <v>37</v>
      </c>
      <c r="K703" t="s">
        <v>57</v>
      </c>
      <c r="L703" t="s">
        <v>2196</v>
      </c>
      <c r="M703" t="s">
        <v>53</v>
      </c>
      <c r="N703">
        <v>7</v>
      </c>
      <c r="O703">
        <v>1224.94</v>
      </c>
      <c r="P703" s="3">
        <v>0</v>
      </c>
      <c r="Q703">
        <v>8574.58</v>
      </c>
      <c r="R703">
        <v>6685.81</v>
      </c>
      <c r="S703">
        <v>1888.77</v>
      </c>
      <c r="T703" t="s">
        <v>41</v>
      </c>
      <c r="U703" t="s">
        <v>112</v>
      </c>
      <c r="V703" s="3">
        <f t="shared" si="90"/>
        <v>0</v>
      </c>
      <c r="W703">
        <f t="shared" si="91"/>
        <v>8574.58</v>
      </c>
      <c r="X703">
        <f t="shared" si="92"/>
        <v>1888.7699999999995</v>
      </c>
      <c r="Y703" s="4">
        <f t="shared" si="93"/>
        <v>0.22027551203674112</v>
      </c>
      <c r="Z703">
        <f t="shared" si="94"/>
        <v>4</v>
      </c>
      <c r="AA703">
        <f t="shared" si="95"/>
        <v>4</v>
      </c>
      <c r="AB703">
        <f t="shared" si="96"/>
        <v>2024</v>
      </c>
      <c r="AC703" t="str">
        <f t="shared" si="97"/>
        <v>Unique</v>
      </c>
      <c r="AD703" t="str">
        <f t="shared" si="98"/>
        <v>Clean</v>
      </c>
    </row>
    <row r="704" spans="1:30" x14ac:dyDescent="0.3">
      <c r="A704" t="s">
        <v>2197</v>
      </c>
      <c r="B704" s="2">
        <v>45690</v>
      </c>
      <c r="C704" s="2">
        <v>45694</v>
      </c>
      <c r="D704" t="s">
        <v>2198</v>
      </c>
      <c r="E704" t="s">
        <v>32</v>
      </c>
      <c r="F704" t="s">
        <v>46</v>
      </c>
      <c r="G704" t="s">
        <v>72</v>
      </c>
      <c r="H704" t="s">
        <v>35</v>
      </c>
      <c r="I704" t="s">
        <v>118</v>
      </c>
      <c r="J704" t="s">
        <v>50</v>
      </c>
      <c r="K704" t="s">
        <v>51</v>
      </c>
      <c r="L704" t="s">
        <v>2199</v>
      </c>
      <c r="M704" t="s">
        <v>40</v>
      </c>
      <c r="N704">
        <v>3</v>
      </c>
      <c r="O704">
        <v>997.34</v>
      </c>
      <c r="P704" s="3">
        <v>0.1</v>
      </c>
      <c r="Q704">
        <v>2692.82</v>
      </c>
      <c r="R704">
        <v>1820.08</v>
      </c>
      <c r="S704">
        <v>872.74</v>
      </c>
      <c r="T704" t="s">
        <v>41</v>
      </c>
      <c r="U704" t="s">
        <v>42</v>
      </c>
      <c r="V704" s="3">
        <f t="shared" si="90"/>
        <v>0.1</v>
      </c>
      <c r="W704">
        <f t="shared" si="91"/>
        <v>2692.8180000000002</v>
      </c>
      <c r="X704">
        <f t="shared" si="92"/>
        <v>872.73800000000028</v>
      </c>
      <c r="Y704" s="4">
        <f t="shared" si="93"/>
        <v>0.32409839803506968</v>
      </c>
      <c r="Z704">
        <f t="shared" si="94"/>
        <v>4</v>
      </c>
      <c r="AA704">
        <f t="shared" si="95"/>
        <v>2</v>
      </c>
      <c r="AB704">
        <f t="shared" si="96"/>
        <v>2025</v>
      </c>
      <c r="AC704" t="str">
        <f t="shared" si="97"/>
        <v>Unique</v>
      </c>
      <c r="AD704" t="str">
        <f t="shared" si="98"/>
        <v>Clean</v>
      </c>
    </row>
    <row r="705" spans="1:30" x14ac:dyDescent="0.3">
      <c r="A705" t="s">
        <v>2200</v>
      </c>
      <c r="B705" s="2">
        <v>45584</v>
      </c>
      <c r="C705" s="2">
        <v>45585</v>
      </c>
      <c r="D705" t="s">
        <v>2201</v>
      </c>
      <c r="E705" t="s">
        <v>98</v>
      </c>
      <c r="F705" t="s">
        <v>99</v>
      </c>
      <c r="G705" t="s">
        <v>34</v>
      </c>
      <c r="H705" t="s">
        <v>35</v>
      </c>
      <c r="I705" t="s">
        <v>36</v>
      </c>
      <c r="J705" t="s">
        <v>50</v>
      </c>
      <c r="K705" t="s">
        <v>51</v>
      </c>
      <c r="L705" t="s">
        <v>2202</v>
      </c>
      <c r="M705" t="s">
        <v>59</v>
      </c>
      <c r="N705">
        <v>1</v>
      </c>
      <c r="O705">
        <v>1150.03</v>
      </c>
      <c r="P705" s="3">
        <v>0.1</v>
      </c>
      <c r="Q705">
        <v>1035.03</v>
      </c>
      <c r="R705">
        <v>854.35</v>
      </c>
      <c r="S705">
        <v>180.68</v>
      </c>
      <c r="T705" t="s">
        <v>41</v>
      </c>
      <c r="U705" t="s">
        <v>42</v>
      </c>
      <c r="V705" s="3">
        <f t="shared" si="90"/>
        <v>0.1</v>
      </c>
      <c r="W705">
        <f t="shared" si="91"/>
        <v>1035.027</v>
      </c>
      <c r="X705">
        <f t="shared" si="92"/>
        <v>180.67700000000002</v>
      </c>
      <c r="Y705" s="4">
        <f t="shared" si="93"/>
        <v>0.1745625959516032</v>
      </c>
      <c r="Z705">
        <f t="shared" si="94"/>
        <v>1</v>
      </c>
      <c r="AA705">
        <f t="shared" si="95"/>
        <v>10</v>
      </c>
      <c r="AB705">
        <f t="shared" si="96"/>
        <v>2024</v>
      </c>
      <c r="AC705" t="str">
        <f t="shared" si="97"/>
        <v>Unique</v>
      </c>
      <c r="AD705" t="str">
        <f t="shared" si="98"/>
        <v>Clean</v>
      </c>
    </row>
    <row r="706" spans="1:30" x14ac:dyDescent="0.3">
      <c r="A706" t="s">
        <v>2203</v>
      </c>
      <c r="B706" s="2">
        <v>45364</v>
      </c>
      <c r="C706" s="2">
        <v>45371</v>
      </c>
      <c r="D706" t="s">
        <v>2204</v>
      </c>
      <c r="E706" t="s">
        <v>123</v>
      </c>
      <c r="F706" t="s">
        <v>104</v>
      </c>
      <c r="G706" t="s">
        <v>63</v>
      </c>
      <c r="H706" t="s">
        <v>257</v>
      </c>
      <c r="I706" t="s">
        <v>258</v>
      </c>
      <c r="J706" t="s">
        <v>50</v>
      </c>
      <c r="K706" t="s">
        <v>167</v>
      </c>
      <c r="L706" t="s">
        <v>2205</v>
      </c>
      <c r="M706" t="s">
        <v>214</v>
      </c>
      <c r="N706">
        <v>1</v>
      </c>
      <c r="O706">
        <v>2825.63</v>
      </c>
      <c r="P706" s="3">
        <v>0.15</v>
      </c>
      <c r="Q706">
        <v>2401.79</v>
      </c>
      <c r="R706">
        <v>1820.34</v>
      </c>
      <c r="S706">
        <v>581.45000000000005</v>
      </c>
      <c r="T706" t="s">
        <v>41</v>
      </c>
      <c r="U706" t="s">
        <v>42</v>
      </c>
      <c r="V706" s="3">
        <f t="shared" ref="V706:V769" si="99">IF(P706="",0,IF(ISNUMBER(P706),ABS(P706),IF(RIGHT(P706,1)="%",VALUE(LEFT(P706,LEN(P706)-1))/100,P706)))</f>
        <v>0.15</v>
      </c>
      <c r="W706">
        <f t="shared" ref="W706:W769" si="100">N706*O706*(1-V706)</f>
        <v>2401.7855</v>
      </c>
      <c r="X706">
        <f t="shared" ref="X706:X769" si="101">W706-R706</f>
        <v>581.44550000000004</v>
      </c>
      <c r="Y706" s="4">
        <f t="shared" ref="Y706:Y769" si="102">IF(W706=0,0,X706/W706)</f>
        <v>0.24208885431276025</v>
      </c>
      <c r="Z706">
        <f t="shared" ref="Z706:Z769" si="103">C706-B706</f>
        <v>7</v>
      </c>
      <c r="AA706">
        <f t="shared" ref="AA706:AA769" si="104">MONTH(B706)</f>
        <v>3</v>
      </c>
      <c r="AB706">
        <f t="shared" ref="AB706:AB769" si="105">YEAR(B706)</f>
        <v>2024</v>
      </c>
      <c r="AC706" t="str">
        <f t="shared" ref="AC706:AC769" si="106">IF(COUNTIF($A$2:$A$913,A706)&gt;1,"Conflict - Review","Unique")</f>
        <v>Unique</v>
      </c>
      <c r="AD706" t="str">
        <f t="shared" ref="AD706:AD769" si="107">IF(OR(C706&lt;B706,AND(ISNUMBER(P706),P706&lt;0),V706&gt;0.65,AC706="Conflict - Review"),"Invalid",IF(OR(G706="Unknown",M706="Unknown",T706="Failed",U706="Cancelled"),"Warning","Clean"))</f>
        <v>Warning</v>
      </c>
    </row>
    <row r="707" spans="1:30" x14ac:dyDescent="0.3">
      <c r="A707" t="s">
        <v>2206</v>
      </c>
      <c r="B707" s="2">
        <v>45543</v>
      </c>
      <c r="C707" s="2">
        <v>45549</v>
      </c>
      <c r="D707" t="s">
        <v>2207</v>
      </c>
      <c r="E707" t="s">
        <v>150</v>
      </c>
      <c r="F707" t="s">
        <v>33</v>
      </c>
      <c r="G707" t="s">
        <v>34</v>
      </c>
      <c r="H707" t="s">
        <v>35</v>
      </c>
      <c r="I707" t="s">
        <v>36</v>
      </c>
      <c r="J707" t="s">
        <v>37</v>
      </c>
      <c r="K707" t="s">
        <v>162</v>
      </c>
      <c r="L707" t="s">
        <v>2208</v>
      </c>
      <c r="M707" t="s">
        <v>68</v>
      </c>
      <c r="N707">
        <v>5</v>
      </c>
      <c r="O707">
        <v>3371.75</v>
      </c>
      <c r="P707" s="3">
        <v>0.05</v>
      </c>
      <c r="Q707">
        <v>16015.81</v>
      </c>
      <c r="R707">
        <v>11352.38</v>
      </c>
      <c r="S707">
        <v>4663.43</v>
      </c>
      <c r="T707" t="s">
        <v>41</v>
      </c>
      <c r="U707" t="s">
        <v>42</v>
      </c>
      <c r="V707" s="3">
        <f t="shared" si="99"/>
        <v>0.05</v>
      </c>
      <c r="W707">
        <f t="shared" si="100"/>
        <v>16015.8125</v>
      </c>
      <c r="X707">
        <f t="shared" si="101"/>
        <v>4663.4325000000008</v>
      </c>
      <c r="Y707" s="4">
        <f t="shared" si="102"/>
        <v>0.29117676671102394</v>
      </c>
      <c r="Z707">
        <f t="shared" si="103"/>
        <v>6</v>
      </c>
      <c r="AA707">
        <f t="shared" si="104"/>
        <v>9</v>
      </c>
      <c r="AB707">
        <f t="shared" si="105"/>
        <v>2024</v>
      </c>
      <c r="AC707" t="str">
        <f t="shared" si="106"/>
        <v>Unique</v>
      </c>
      <c r="AD707" t="str">
        <f t="shared" si="107"/>
        <v>Clean</v>
      </c>
    </row>
    <row r="708" spans="1:30" x14ac:dyDescent="0.3">
      <c r="A708" t="s">
        <v>2209</v>
      </c>
      <c r="B708" s="2">
        <v>45467</v>
      </c>
      <c r="C708" s="2">
        <v>45471</v>
      </c>
      <c r="D708" t="s">
        <v>2210</v>
      </c>
      <c r="E708" t="s">
        <v>56</v>
      </c>
      <c r="F708" t="s">
        <v>46</v>
      </c>
      <c r="G708" t="s">
        <v>47</v>
      </c>
      <c r="H708" t="s">
        <v>48</v>
      </c>
      <c r="I708" t="s">
        <v>49</v>
      </c>
      <c r="J708" t="s">
        <v>37</v>
      </c>
      <c r="K708" t="s">
        <v>38</v>
      </c>
      <c r="L708" t="s">
        <v>2211</v>
      </c>
      <c r="M708" t="s">
        <v>53</v>
      </c>
      <c r="N708">
        <v>1</v>
      </c>
      <c r="O708">
        <v>2112.75</v>
      </c>
      <c r="P708" s="3">
        <v>0.1</v>
      </c>
      <c r="Q708">
        <v>1901.48</v>
      </c>
      <c r="R708">
        <v>1354.28</v>
      </c>
      <c r="S708">
        <v>547.20000000000005</v>
      </c>
      <c r="T708" t="s">
        <v>41</v>
      </c>
      <c r="U708" t="s">
        <v>42</v>
      </c>
      <c r="V708" s="3">
        <f t="shared" si="99"/>
        <v>0.1</v>
      </c>
      <c r="W708">
        <f t="shared" si="100"/>
        <v>1901.4750000000001</v>
      </c>
      <c r="X708">
        <f t="shared" si="101"/>
        <v>547.19500000000016</v>
      </c>
      <c r="Y708" s="4">
        <f t="shared" si="102"/>
        <v>0.28777396494826391</v>
      </c>
      <c r="Z708">
        <f t="shared" si="103"/>
        <v>4</v>
      </c>
      <c r="AA708">
        <f t="shared" si="104"/>
        <v>6</v>
      </c>
      <c r="AB708">
        <f t="shared" si="105"/>
        <v>2024</v>
      </c>
      <c r="AC708" t="str">
        <f t="shared" si="106"/>
        <v>Unique</v>
      </c>
      <c r="AD708" t="str">
        <f t="shared" si="107"/>
        <v>Clean</v>
      </c>
    </row>
    <row r="709" spans="1:30" x14ac:dyDescent="0.3">
      <c r="A709" t="s">
        <v>2212</v>
      </c>
      <c r="B709" s="2">
        <v>45832</v>
      </c>
      <c r="C709" s="2">
        <v>45834</v>
      </c>
      <c r="D709" t="s">
        <v>2213</v>
      </c>
      <c r="E709" t="s">
        <v>80</v>
      </c>
      <c r="F709" t="s">
        <v>33</v>
      </c>
      <c r="G709" t="s">
        <v>34</v>
      </c>
      <c r="H709" t="s">
        <v>35</v>
      </c>
      <c r="I709" t="s">
        <v>36</v>
      </c>
      <c r="J709" t="s">
        <v>83</v>
      </c>
      <c r="K709" t="s">
        <v>84</v>
      </c>
      <c r="L709" t="s">
        <v>2214</v>
      </c>
      <c r="M709" t="s">
        <v>53</v>
      </c>
      <c r="N709">
        <v>5</v>
      </c>
      <c r="O709">
        <v>3722.66</v>
      </c>
      <c r="P709" s="3">
        <v>0.55000000000000004</v>
      </c>
      <c r="Q709">
        <v>16751.97</v>
      </c>
      <c r="R709">
        <v>11678.32</v>
      </c>
      <c r="S709">
        <v>5073.6499999999996</v>
      </c>
      <c r="T709" t="s">
        <v>41</v>
      </c>
      <c r="U709" t="s">
        <v>42</v>
      </c>
      <c r="V709" s="3">
        <f t="shared" si="99"/>
        <v>0.55000000000000004</v>
      </c>
      <c r="W709">
        <f t="shared" si="100"/>
        <v>8375.9849999999988</v>
      </c>
      <c r="X709">
        <f t="shared" si="101"/>
        <v>-3302.3350000000009</v>
      </c>
      <c r="Y709" s="4">
        <f t="shared" si="102"/>
        <v>-0.39426228676388525</v>
      </c>
      <c r="Z709">
        <f t="shared" si="103"/>
        <v>2</v>
      </c>
      <c r="AA709">
        <f t="shared" si="104"/>
        <v>6</v>
      </c>
      <c r="AB709">
        <f t="shared" si="105"/>
        <v>2025</v>
      </c>
      <c r="AC709" t="str">
        <f t="shared" si="106"/>
        <v>Unique</v>
      </c>
      <c r="AD709" t="str">
        <f t="shared" si="107"/>
        <v>Clean</v>
      </c>
    </row>
    <row r="710" spans="1:30" x14ac:dyDescent="0.3">
      <c r="A710" t="s">
        <v>2215</v>
      </c>
      <c r="B710" s="2">
        <v>45736</v>
      </c>
      <c r="C710" s="2">
        <v>45742</v>
      </c>
      <c r="D710" t="s">
        <v>2216</v>
      </c>
      <c r="E710" t="s">
        <v>141</v>
      </c>
      <c r="F710" t="s">
        <v>33</v>
      </c>
      <c r="G710" t="s">
        <v>47</v>
      </c>
      <c r="H710" t="s">
        <v>175</v>
      </c>
      <c r="I710" t="s">
        <v>176</v>
      </c>
      <c r="J710" t="s">
        <v>50</v>
      </c>
      <c r="K710" t="s">
        <v>167</v>
      </c>
      <c r="L710" t="s">
        <v>2217</v>
      </c>
      <c r="M710" t="s">
        <v>59</v>
      </c>
      <c r="N710">
        <v>4</v>
      </c>
      <c r="O710">
        <v>4357.66</v>
      </c>
      <c r="P710" s="3">
        <v>0.05</v>
      </c>
      <c r="Q710">
        <v>16559.11</v>
      </c>
      <c r="R710">
        <v>13233.79</v>
      </c>
      <c r="S710">
        <v>3325.32</v>
      </c>
      <c r="T710" t="s">
        <v>41</v>
      </c>
      <c r="U710" t="s">
        <v>42</v>
      </c>
      <c r="V710" s="3">
        <f t="shared" si="99"/>
        <v>0.05</v>
      </c>
      <c r="W710">
        <f t="shared" si="100"/>
        <v>16559.108</v>
      </c>
      <c r="X710">
        <f t="shared" si="101"/>
        <v>3325.3179999999993</v>
      </c>
      <c r="Y710" s="4">
        <f t="shared" si="102"/>
        <v>0.20081504390212318</v>
      </c>
      <c r="Z710">
        <f t="shared" si="103"/>
        <v>6</v>
      </c>
      <c r="AA710">
        <f t="shared" si="104"/>
        <v>3</v>
      </c>
      <c r="AB710">
        <f t="shared" si="105"/>
        <v>2025</v>
      </c>
      <c r="AC710" t="str">
        <f t="shared" si="106"/>
        <v>Unique</v>
      </c>
      <c r="AD710" t="str">
        <f t="shared" si="107"/>
        <v>Clean</v>
      </c>
    </row>
    <row r="711" spans="1:30" x14ac:dyDescent="0.3">
      <c r="A711" t="s">
        <v>2218</v>
      </c>
      <c r="B711" s="2">
        <v>45676</v>
      </c>
      <c r="C711" s="2">
        <v>45680</v>
      </c>
      <c r="D711" t="s">
        <v>2219</v>
      </c>
      <c r="E711" t="s">
        <v>274</v>
      </c>
      <c r="F711" t="s">
        <v>104</v>
      </c>
      <c r="G711" t="s">
        <v>34</v>
      </c>
      <c r="H711" t="s">
        <v>131</v>
      </c>
      <c r="I711" t="s">
        <v>132</v>
      </c>
      <c r="J711" t="s">
        <v>83</v>
      </c>
      <c r="K711" t="s">
        <v>180</v>
      </c>
      <c r="L711" t="s">
        <v>2220</v>
      </c>
      <c r="M711" t="s">
        <v>53</v>
      </c>
      <c r="N711">
        <v>7</v>
      </c>
      <c r="O711">
        <v>1363.04</v>
      </c>
      <c r="P711" s="3">
        <v>0.15</v>
      </c>
      <c r="Q711">
        <v>8110.09</v>
      </c>
      <c r="R711">
        <v>6417.32</v>
      </c>
      <c r="S711">
        <v>1692.77</v>
      </c>
      <c r="T711" t="s">
        <v>41</v>
      </c>
      <c r="U711" t="s">
        <v>77</v>
      </c>
      <c r="V711" s="3">
        <f t="shared" si="99"/>
        <v>0.15</v>
      </c>
      <c r="W711">
        <f t="shared" si="100"/>
        <v>8110.0879999999988</v>
      </c>
      <c r="X711">
        <f t="shared" si="101"/>
        <v>1692.7679999999991</v>
      </c>
      <c r="Y711" s="4">
        <f t="shared" si="102"/>
        <v>0.2087237524426368</v>
      </c>
      <c r="Z711">
        <f t="shared" si="103"/>
        <v>4</v>
      </c>
      <c r="AA711">
        <f t="shared" si="104"/>
        <v>1</v>
      </c>
      <c r="AB711">
        <f t="shared" si="105"/>
        <v>2025</v>
      </c>
      <c r="AC711" t="str">
        <f t="shared" si="106"/>
        <v>Unique</v>
      </c>
      <c r="AD711" t="str">
        <f t="shared" si="107"/>
        <v>Warning</v>
      </c>
    </row>
    <row r="712" spans="1:30" x14ac:dyDescent="0.3">
      <c r="A712" t="s">
        <v>2221</v>
      </c>
      <c r="B712" s="2">
        <v>45485</v>
      </c>
      <c r="C712" s="2">
        <v>45492</v>
      </c>
      <c r="D712" t="s">
        <v>2222</v>
      </c>
      <c r="E712" t="s">
        <v>80</v>
      </c>
      <c r="F712" t="s">
        <v>99</v>
      </c>
      <c r="G712" t="s">
        <v>34</v>
      </c>
      <c r="H712" t="s">
        <v>131</v>
      </c>
      <c r="I712" t="s">
        <v>132</v>
      </c>
      <c r="J712" t="s">
        <v>37</v>
      </c>
      <c r="K712" t="s">
        <v>57</v>
      </c>
      <c r="L712" t="s">
        <v>2223</v>
      </c>
      <c r="M712" t="s">
        <v>40</v>
      </c>
      <c r="N712">
        <v>5</v>
      </c>
      <c r="O712">
        <v>1559.16</v>
      </c>
      <c r="P712" s="3">
        <v>0.05</v>
      </c>
      <c r="Q712">
        <v>7406.01</v>
      </c>
      <c r="R712">
        <v>5941.74</v>
      </c>
      <c r="S712">
        <v>1464.27</v>
      </c>
      <c r="T712" t="s">
        <v>41</v>
      </c>
      <c r="U712" t="s">
        <v>42</v>
      </c>
      <c r="V712" s="3">
        <f t="shared" si="99"/>
        <v>0.05</v>
      </c>
      <c r="W712">
        <f t="shared" si="100"/>
        <v>7406.01</v>
      </c>
      <c r="X712">
        <f t="shared" si="101"/>
        <v>1464.2700000000004</v>
      </c>
      <c r="Y712" s="4">
        <f t="shared" si="102"/>
        <v>0.19771374869869207</v>
      </c>
      <c r="Z712">
        <f t="shared" si="103"/>
        <v>7</v>
      </c>
      <c r="AA712">
        <f t="shared" si="104"/>
        <v>7</v>
      </c>
      <c r="AB712">
        <f t="shared" si="105"/>
        <v>2024</v>
      </c>
      <c r="AC712" t="str">
        <f t="shared" si="106"/>
        <v>Unique</v>
      </c>
      <c r="AD712" t="str">
        <f t="shared" si="107"/>
        <v>Clean</v>
      </c>
    </row>
    <row r="713" spans="1:30" x14ac:dyDescent="0.3">
      <c r="A713" t="s">
        <v>2224</v>
      </c>
      <c r="B713" s="2">
        <v>45690</v>
      </c>
      <c r="C713" s="2">
        <v>45690</v>
      </c>
      <c r="D713" t="s">
        <v>2225</v>
      </c>
      <c r="E713" t="s">
        <v>274</v>
      </c>
      <c r="F713" t="s">
        <v>99</v>
      </c>
      <c r="G713" t="s">
        <v>47</v>
      </c>
      <c r="H713" t="s">
        <v>108</v>
      </c>
      <c r="I713" t="s">
        <v>109</v>
      </c>
      <c r="J713" t="s">
        <v>83</v>
      </c>
      <c r="K713" t="s">
        <v>284</v>
      </c>
      <c r="L713" t="s">
        <v>2226</v>
      </c>
      <c r="M713" t="s">
        <v>59</v>
      </c>
      <c r="N713">
        <v>1</v>
      </c>
      <c r="O713">
        <v>4326.75</v>
      </c>
      <c r="P713" s="3">
        <v>0.05</v>
      </c>
      <c r="Q713">
        <v>4110.41</v>
      </c>
      <c r="R713">
        <v>2394.14</v>
      </c>
      <c r="S713">
        <v>1716.27</v>
      </c>
      <c r="T713" t="s">
        <v>120</v>
      </c>
      <c r="U713" t="s">
        <v>112</v>
      </c>
      <c r="V713" s="3">
        <f t="shared" si="99"/>
        <v>0.05</v>
      </c>
      <c r="W713">
        <f t="shared" si="100"/>
        <v>4110.4124999999995</v>
      </c>
      <c r="X713">
        <f t="shared" si="101"/>
        <v>1716.2724999999996</v>
      </c>
      <c r="Y713" s="4">
        <f t="shared" si="102"/>
        <v>0.41754264322619683</v>
      </c>
      <c r="Z713">
        <f t="shared" si="103"/>
        <v>0</v>
      </c>
      <c r="AA713">
        <f t="shared" si="104"/>
        <v>2</v>
      </c>
      <c r="AB713">
        <f t="shared" si="105"/>
        <v>2025</v>
      </c>
      <c r="AC713" t="str">
        <f t="shared" si="106"/>
        <v>Unique</v>
      </c>
      <c r="AD713" t="str">
        <f t="shared" si="107"/>
        <v>Clean</v>
      </c>
    </row>
    <row r="714" spans="1:30" x14ac:dyDescent="0.3">
      <c r="A714" t="s">
        <v>2227</v>
      </c>
      <c r="B714" s="2">
        <v>45332</v>
      </c>
      <c r="C714" s="2">
        <v>45340</v>
      </c>
      <c r="D714" t="s">
        <v>2228</v>
      </c>
      <c r="E714" t="s">
        <v>56</v>
      </c>
      <c r="F714" t="s">
        <v>104</v>
      </c>
      <c r="G714" t="s">
        <v>72</v>
      </c>
      <c r="H714" t="s">
        <v>81</v>
      </c>
      <c r="I714" t="s">
        <v>82</v>
      </c>
      <c r="J714" t="s">
        <v>50</v>
      </c>
      <c r="K714" t="s">
        <v>75</v>
      </c>
      <c r="L714" t="s">
        <v>2229</v>
      </c>
      <c r="M714" t="s">
        <v>59</v>
      </c>
      <c r="N714">
        <v>7</v>
      </c>
      <c r="O714">
        <v>1382.86</v>
      </c>
      <c r="P714" s="3">
        <v>0</v>
      </c>
      <c r="Q714">
        <v>9680.02</v>
      </c>
      <c r="R714">
        <v>6876.66</v>
      </c>
      <c r="S714">
        <v>2803.36</v>
      </c>
      <c r="T714" t="s">
        <v>41</v>
      </c>
      <c r="U714" t="s">
        <v>42</v>
      </c>
      <c r="V714" s="3">
        <f t="shared" si="99"/>
        <v>0</v>
      </c>
      <c r="W714">
        <f t="shared" si="100"/>
        <v>9680.0199999999986</v>
      </c>
      <c r="X714">
        <f t="shared" si="101"/>
        <v>2803.3599999999988</v>
      </c>
      <c r="Y714" s="4">
        <f t="shared" si="102"/>
        <v>0.28960270743242256</v>
      </c>
      <c r="Z714">
        <f t="shared" si="103"/>
        <v>8</v>
      </c>
      <c r="AA714">
        <f t="shared" si="104"/>
        <v>2</v>
      </c>
      <c r="AB714">
        <f t="shared" si="105"/>
        <v>2024</v>
      </c>
      <c r="AC714" t="str">
        <f t="shared" si="106"/>
        <v>Unique</v>
      </c>
      <c r="AD714" t="str">
        <f t="shared" si="107"/>
        <v>Clean</v>
      </c>
    </row>
    <row r="715" spans="1:30" x14ac:dyDescent="0.3">
      <c r="A715" t="s">
        <v>2230</v>
      </c>
      <c r="B715" s="2">
        <v>45814</v>
      </c>
      <c r="C715" s="2">
        <v>45818</v>
      </c>
      <c r="D715" t="s">
        <v>609</v>
      </c>
      <c r="E715" t="s">
        <v>45</v>
      </c>
      <c r="F715" t="s">
        <v>33</v>
      </c>
      <c r="G715" t="s">
        <v>72</v>
      </c>
      <c r="H715" t="s">
        <v>35</v>
      </c>
      <c r="I715" t="s">
        <v>118</v>
      </c>
      <c r="J715" t="s">
        <v>83</v>
      </c>
      <c r="K715" t="s">
        <v>284</v>
      </c>
      <c r="L715" t="s">
        <v>2231</v>
      </c>
      <c r="M715" t="s">
        <v>40</v>
      </c>
      <c r="N715">
        <v>1</v>
      </c>
      <c r="O715">
        <v>289.97000000000003</v>
      </c>
      <c r="P715" s="3">
        <v>0.25</v>
      </c>
      <c r="Q715">
        <v>217.48</v>
      </c>
      <c r="R715">
        <v>132.13</v>
      </c>
      <c r="S715">
        <v>85.35</v>
      </c>
      <c r="T715" t="s">
        <v>41</v>
      </c>
      <c r="U715" t="s">
        <v>42</v>
      </c>
      <c r="V715" s="3">
        <f t="shared" si="99"/>
        <v>0.25</v>
      </c>
      <c r="W715">
        <f t="shared" si="100"/>
        <v>217.47750000000002</v>
      </c>
      <c r="X715">
        <f t="shared" si="101"/>
        <v>85.347500000000025</v>
      </c>
      <c r="Y715" s="4">
        <f t="shared" si="102"/>
        <v>0.39244289639158081</v>
      </c>
      <c r="Z715">
        <f t="shared" si="103"/>
        <v>4</v>
      </c>
      <c r="AA715">
        <f t="shared" si="104"/>
        <v>6</v>
      </c>
      <c r="AB715">
        <f t="shared" si="105"/>
        <v>2025</v>
      </c>
      <c r="AC715" t="str">
        <f t="shared" si="106"/>
        <v>Unique</v>
      </c>
      <c r="AD715" t="str">
        <f t="shared" si="107"/>
        <v>Clean</v>
      </c>
    </row>
    <row r="716" spans="1:30" x14ac:dyDescent="0.3">
      <c r="A716" t="s">
        <v>2232</v>
      </c>
      <c r="B716" s="2">
        <v>45738</v>
      </c>
      <c r="C716" s="2">
        <v>45739</v>
      </c>
      <c r="D716" t="s">
        <v>2233</v>
      </c>
      <c r="E716" t="s">
        <v>32</v>
      </c>
      <c r="F716" t="s">
        <v>104</v>
      </c>
      <c r="G716" t="s">
        <v>34</v>
      </c>
      <c r="H716" t="s">
        <v>360</v>
      </c>
      <c r="I716" t="s">
        <v>361</v>
      </c>
      <c r="J716" t="s">
        <v>83</v>
      </c>
      <c r="K716" t="s">
        <v>89</v>
      </c>
      <c r="L716" t="s">
        <v>2234</v>
      </c>
      <c r="M716" t="s">
        <v>68</v>
      </c>
      <c r="N716">
        <v>9</v>
      </c>
      <c r="O716">
        <v>2075.02</v>
      </c>
      <c r="P716" s="3">
        <v>0</v>
      </c>
      <c r="Q716">
        <v>18675.18</v>
      </c>
      <c r="R716">
        <v>13974.7</v>
      </c>
      <c r="S716">
        <v>4700.4799999999996</v>
      </c>
      <c r="T716" t="s">
        <v>41</v>
      </c>
      <c r="U716" t="s">
        <v>42</v>
      </c>
      <c r="V716" s="3">
        <f t="shared" si="99"/>
        <v>0</v>
      </c>
      <c r="W716">
        <f t="shared" si="100"/>
        <v>18675.18</v>
      </c>
      <c r="X716">
        <f t="shared" si="101"/>
        <v>4700.4799999999996</v>
      </c>
      <c r="Y716" s="4">
        <f t="shared" si="102"/>
        <v>0.25169663692665878</v>
      </c>
      <c r="Z716">
        <f t="shared" si="103"/>
        <v>1</v>
      </c>
      <c r="AA716">
        <f t="shared" si="104"/>
        <v>3</v>
      </c>
      <c r="AB716">
        <f t="shared" si="105"/>
        <v>2025</v>
      </c>
      <c r="AC716" t="str">
        <f t="shared" si="106"/>
        <v>Unique</v>
      </c>
      <c r="AD716" t="str">
        <f t="shared" si="107"/>
        <v>Clean</v>
      </c>
    </row>
    <row r="717" spans="1:30" x14ac:dyDescent="0.3">
      <c r="A717" t="s">
        <v>2235</v>
      </c>
      <c r="B717" s="2">
        <v>45891</v>
      </c>
      <c r="C717" s="2">
        <v>45896</v>
      </c>
      <c r="D717" t="s">
        <v>2236</v>
      </c>
      <c r="E717" t="s">
        <v>123</v>
      </c>
      <c r="F717" t="s">
        <v>33</v>
      </c>
      <c r="G717" t="s">
        <v>34</v>
      </c>
      <c r="H717" t="s">
        <v>246</v>
      </c>
      <c r="I717" t="s">
        <v>247</v>
      </c>
      <c r="J717" t="s">
        <v>50</v>
      </c>
      <c r="K717" t="s">
        <v>75</v>
      </c>
      <c r="L717" t="s">
        <v>2237</v>
      </c>
      <c r="M717" t="s">
        <v>40</v>
      </c>
      <c r="N717">
        <v>7</v>
      </c>
      <c r="O717">
        <v>2843.09</v>
      </c>
      <c r="P717" s="3">
        <v>0</v>
      </c>
      <c r="Q717">
        <v>19901.63</v>
      </c>
      <c r="R717">
        <v>15492.03</v>
      </c>
      <c r="S717">
        <v>4409.6000000000004</v>
      </c>
      <c r="T717" t="s">
        <v>111</v>
      </c>
      <c r="U717" t="s">
        <v>77</v>
      </c>
      <c r="V717" s="3">
        <f t="shared" si="99"/>
        <v>0</v>
      </c>
      <c r="W717">
        <f t="shared" si="100"/>
        <v>19901.63</v>
      </c>
      <c r="X717">
        <f t="shared" si="101"/>
        <v>4409.6000000000004</v>
      </c>
      <c r="Y717" s="4">
        <f t="shared" si="102"/>
        <v>0.22156979101711771</v>
      </c>
      <c r="Z717">
        <f t="shared" si="103"/>
        <v>5</v>
      </c>
      <c r="AA717">
        <f t="shared" si="104"/>
        <v>8</v>
      </c>
      <c r="AB717">
        <f t="shared" si="105"/>
        <v>2025</v>
      </c>
      <c r="AC717" t="str">
        <f t="shared" si="106"/>
        <v>Unique</v>
      </c>
      <c r="AD717" t="str">
        <f t="shared" si="107"/>
        <v>Warning</v>
      </c>
    </row>
    <row r="718" spans="1:30" x14ac:dyDescent="0.3">
      <c r="A718" t="s">
        <v>2238</v>
      </c>
      <c r="B718" s="2">
        <v>45895</v>
      </c>
      <c r="C718" s="2">
        <v>45900</v>
      </c>
      <c r="D718" t="s">
        <v>2239</v>
      </c>
      <c r="E718" t="s">
        <v>171</v>
      </c>
      <c r="F718" t="s">
        <v>46</v>
      </c>
      <c r="G718" t="s">
        <v>34</v>
      </c>
      <c r="H718" t="s">
        <v>246</v>
      </c>
      <c r="I718" t="s">
        <v>247</v>
      </c>
      <c r="J718" t="s">
        <v>83</v>
      </c>
      <c r="K718" t="s">
        <v>180</v>
      </c>
      <c r="L718" t="s">
        <v>2240</v>
      </c>
      <c r="M718" t="s">
        <v>59</v>
      </c>
      <c r="N718">
        <v>1</v>
      </c>
      <c r="O718">
        <v>3388.02</v>
      </c>
      <c r="P718" s="3">
        <v>0.15</v>
      </c>
      <c r="Q718">
        <v>2879.82</v>
      </c>
      <c r="R718">
        <v>1824.88</v>
      </c>
      <c r="S718">
        <v>1054.94</v>
      </c>
      <c r="T718" t="s">
        <v>41</v>
      </c>
      <c r="U718" t="s">
        <v>42</v>
      </c>
      <c r="V718" s="3">
        <f t="shared" si="99"/>
        <v>0.15</v>
      </c>
      <c r="W718">
        <f t="shared" si="100"/>
        <v>2879.817</v>
      </c>
      <c r="X718">
        <f t="shared" si="101"/>
        <v>1054.9369999999999</v>
      </c>
      <c r="Y718" s="4">
        <f t="shared" si="102"/>
        <v>0.3663208460815392</v>
      </c>
      <c r="Z718">
        <f t="shared" si="103"/>
        <v>5</v>
      </c>
      <c r="AA718">
        <f t="shared" si="104"/>
        <v>8</v>
      </c>
      <c r="AB718">
        <f t="shared" si="105"/>
        <v>2025</v>
      </c>
      <c r="AC718" t="str">
        <f t="shared" si="106"/>
        <v>Unique</v>
      </c>
      <c r="AD718" t="str">
        <f t="shared" si="107"/>
        <v>Clean</v>
      </c>
    </row>
    <row r="719" spans="1:30" x14ac:dyDescent="0.3">
      <c r="A719" t="s">
        <v>2241</v>
      </c>
      <c r="B719" s="2">
        <v>45942</v>
      </c>
      <c r="C719" s="2">
        <v>45945</v>
      </c>
      <c r="D719" t="s">
        <v>2242</v>
      </c>
      <c r="E719" t="s">
        <v>274</v>
      </c>
      <c r="F719" t="s">
        <v>46</v>
      </c>
      <c r="G719" t="s">
        <v>34</v>
      </c>
      <c r="H719" t="s">
        <v>246</v>
      </c>
      <c r="I719" t="s">
        <v>247</v>
      </c>
      <c r="J719" t="s">
        <v>83</v>
      </c>
      <c r="K719" t="s">
        <v>284</v>
      </c>
      <c r="L719" t="s">
        <v>2243</v>
      </c>
      <c r="M719" t="s">
        <v>68</v>
      </c>
      <c r="N719">
        <v>9</v>
      </c>
      <c r="O719">
        <v>2598.92</v>
      </c>
      <c r="P719" s="3">
        <v>0.2</v>
      </c>
      <c r="Q719">
        <v>18712.22</v>
      </c>
      <c r="R719">
        <v>11852.22</v>
      </c>
      <c r="S719">
        <v>6860</v>
      </c>
      <c r="T719" t="s">
        <v>120</v>
      </c>
      <c r="U719" t="s">
        <v>77</v>
      </c>
      <c r="V719" s="3">
        <f t="shared" si="99"/>
        <v>0.2</v>
      </c>
      <c r="W719">
        <f t="shared" si="100"/>
        <v>18712.223999999998</v>
      </c>
      <c r="X719">
        <f t="shared" si="101"/>
        <v>6860.003999999999</v>
      </c>
      <c r="Y719" s="4">
        <f t="shared" si="102"/>
        <v>0.3666054874075898</v>
      </c>
      <c r="Z719">
        <f t="shared" si="103"/>
        <v>3</v>
      </c>
      <c r="AA719">
        <f t="shared" si="104"/>
        <v>10</v>
      </c>
      <c r="AB719">
        <f t="shared" si="105"/>
        <v>2025</v>
      </c>
      <c r="AC719" t="str">
        <f t="shared" si="106"/>
        <v>Unique</v>
      </c>
      <c r="AD719" t="str">
        <f t="shared" si="107"/>
        <v>Warning</v>
      </c>
    </row>
    <row r="720" spans="1:30" x14ac:dyDescent="0.3">
      <c r="A720" t="s">
        <v>2244</v>
      </c>
      <c r="B720" s="2">
        <v>45541</v>
      </c>
      <c r="C720" s="2">
        <v>45544</v>
      </c>
      <c r="D720" t="s">
        <v>2245</v>
      </c>
      <c r="E720" t="s">
        <v>45</v>
      </c>
      <c r="F720" t="s">
        <v>33</v>
      </c>
      <c r="G720" t="s">
        <v>72</v>
      </c>
      <c r="H720" t="s">
        <v>73</v>
      </c>
      <c r="I720" t="s">
        <v>74</v>
      </c>
      <c r="J720" t="s">
        <v>37</v>
      </c>
      <c r="K720" t="s">
        <v>57</v>
      </c>
      <c r="L720" t="s">
        <v>2246</v>
      </c>
      <c r="M720" t="s">
        <v>53</v>
      </c>
      <c r="N720">
        <v>3</v>
      </c>
      <c r="O720">
        <v>1972.27</v>
      </c>
      <c r="P720" s="3">
        <v>0.2</v>
      </c>
      <c r="Q720">
        <v>4733.45</v>
      </c>
      <c r="R720">
        <v>3672.32</v>
      </c>
      <c r="S720">
        <v>1061.1300000000001</v>
      </c>
      <c r="T720" t="s">
        <v>41</v>
      </c>
      <c r="U720" t="s">
        <v>42</v>
      </c>
      <c r="V720" s="3">
        <f t="shared" si="99"/>
        <v>0.2</v>
      </c>
      <c r="W720">
        <f t="shared" si="100"/>
        <v>4733.4479999999994</v>
      </c>
      <c r="X720">
        <f t="shared" si="101"/>
        <v>1061.1279999999992</v>
      </c>
      <c r="Y720" s="4">
        <f t="shared" si="102"/>
        <v>0.22417654107534282</v>
      </c>
      <c r="Z720">
        <f t="shared" si="103"/>
        <v>3</v>
      </c>
      <c r="AA720">
        <f t="shared" si="104"/>
        <v>9</v>
      </c>
      <c r="AB720">
        <f t="shared" si="105"/>
        <v>2024</v>
      </c>
      <c r="AC720" t="str">
        <f t="shared" si="106"/>
        <v>Unique</v>
      </c>
      <c r="AD720" t="str">
        <f t="shared" si="107"/>
        <v>Clean</v>
      </c>
    </row>
    <row r="721" spans="1:30" x14ac:dyDescent="0.3">
      <c r="A721" t="s">
        <v>2247</v>
      </c>
      <c r="B721" s="2">
        <v>45908</v>
      </c>
      <c r="C721" s="2">
        <v>45909</v>
      </c>
      <c r="D721" t="s">
        <v>153</v>
      </c>
      <c r="E721" t="s">
        <v>274</v>
      </c>
      <c r="F721" t="s">
        <v>99</v>
      </c>
      <c r="G721" t="s">
        <v>72</v>
      </c>
      <c r="H721" t="s">
        <v>189</v>
      </c>
      <c r="I721" t="s">
        <v>190</v>
      </c>
      <c r="J721" t="s">
        <v>37</v>
      </c>
      <c r="K721" t="s">
        <v>57</v>
      </c>
      <c r="L721" t="s">
        <v>2248</v>
      </c>
      <c r="M721" t="s">
        <v>53</v>
      </c>
      <c r="N721">
        <v>2</v>
      </c>
      <c r="O721">
        <v>2372.41</v>
      </c>
      <c r="P721" s="3">
        <v>0.2</v>
      </c>
      <c r="Q721">
        <v>3795.86</v>
      </c>
      <c r="R721">
        <v>2264.92</v>
      </c>
      <c r="S721">
        <v>1530.94</v>
      </c>
      <c r="T721" t="s">
        <v>41</v>
      </c>
      <c r="U721" t="s">
        <v>42</v>
      </c>
      <c r="V721" s="3">
        <f t="shared" si="99"/>
        <v>0.2</v>
      </c>
      <c r="W721">
        <f t="shared" si="100"/>
        <v>3795.8559999999998</v>
      </c>
      <c r="X721">
        <f t="shared" si="101"/>
        <v>1530.9359999999997</v>
      </c>
      <c r="Y721" s="4">
        <f t="shared" si="102"/>
        <v>0.40331772332775528</v>
      </c>
      <c r="Z721">
        <f t="shared" si="103"/>
        <v>1</v>
      </c>
      <c r="AA721">
        <f t="shared" si="104"/>
        <v>9</v>
      </c>
      <c r="AB721">
        <f t="shared" si="105"/>
        <v>2025</v>
      </c>
      <c r="AC721" t="str">
        <f t="shared" si="106"/>
        <v>Unique</v>
      </c>
      <c r="AD721" t="str">
        <f t="shared" si="107"/>
        <v>Clean</v>
      </c>
    </row>
    <row r="722" spans="1:30" x14ac:dyDescent="0.3">
      <c r="A722" t="s">
        <v>2249</v>
      </c>
      <c r="B722" s="2">
        <v>45489</v>
      </c>
      <c r="C722" s="2">
        <v>45489</v>
      </c>
      <c r="D722" t="s">
        <v>2250</v>
      </c>
      <c r="E722" t="s">
        <v>98</v>
      </c>
      <c r="F722" t="s">
        <v>104</v>
      </c>
      <c r="G722" t="s">
        <v>72</v>
      </c>
      <c r="H722" t="s">
        <v>81</v>
      </c>
      <c r="I722" t="s">
        <v>82</v>
      </c>
      <c r="J722" t="s">
        <v>83</v>
      </c>
      <c r="K722" t="s">
        <v>89</v>
      </c>
      <c r="L722" t="s">
        <v>2251</v>
      </c>
      <c r="M722" t="s">
        <v>53</v>
      </c>
      <c r="N722">
        <v>4</v>
      </c>
      <c r="O722">
        <v>4479.92</v>
      </c>
      <c r="P722" s="3">
        <v>0.15</v>
      </c>
      <c r="Q722">
        <v>15231.73</v>
      </c>
      <c r="R722">
        <v>12451.46</v>
      </c>
      <c r="S722">
        <v>2780.27</v>
      </c>
      <c r="T722" t="s">
        <v>41</v>
      </c>
      <c r="U722" t="s">
        <v>42</v>
      </c>
      <c r="V722" s="3">
        <f t="shared" si="99"/>
        <v>0.15</v>
      </c>
      <c r="W722">
        <f t="shared" si="100"/>
        <v>15231.727999999999</v>
      </c>
      <c r="X722">
        <f t="shared" si="101"/>
        <v>2780.268</v>
      </c>
      <c r="Y722" s="4">
        <f t="shared" si="102"/>
        <v>0.1825313582280356</v>
      </c>
      <c r="Z722">
        <f t="shared" si="103"/>
        <v>0</v>
      </c>
      <c r="AA722">
        <f t="shared" si="104"/>
        <v>7</v>
      </c>
      <c r="AB722">
        <f t="shared" si="105"/>
        <v>2024</v>
      </c>
      <c r="AC722" t="str">
        <f t="shared" si="106"/>
        <v>Unique</v>
      </c>
      <c r="AD722" t="str">
        <f t="shared" si="107"/>
        <v>Clean</v>
      </c>
    </row>
    <row r="723" spans="1:30" x14ac:dyDescent="0.3">
      <c r="A723" t="s">
        <v>2252</v>
      </c>
      <c r="B723" s="2">
        <v>45827</v>
      </c>
      <c r="C723" s="2">
        <v>45831</v>
      </c>
      <c r="D723" t="s">
        <v>2253</v>
      </c>
      <c r="E723" t="s">
        <v>141</v>
      </c>
      <c r="F723" t="s">
        <v>33</v>
      </c>
      <c r="G723" t="s">
        <v>63</v>
      </c>
      <c r="H723" t="s">
        <v>184</v>
      </c>
      <c r="I723" t="s">
        <v>185</v>
      </c>
      <c r="J723" t="s">
        <v>83</v>
      </c>
      <c r="K723" t="s">
        <v>89</v>
      </c>
      <c r="L723" t="s">
        <v>2254</v>
      </c>
      <c r="M723" t="s">
        <v>59</v>
      </c>
      <c r="N723">
        <v>5</v>
      </c>
      <c r="O723">
        <v>2729.95</v>
      </c>
      <c r="P723" s="3">
        <v>0</v>
      </c>
      <c r="Q723">
        <v>13649.75</v>
      </c>
      <c r="R723">
        <v>10288.030000000001</v>
      </c>
      <c r="S723">
        <v>3361.72</v>
      </c>
      <c r="T723" t="s">
        <v>41</v>
      </c>
      <c r="U723" t="s">
        <v>42</v>
      </c>
      <c r="V723" s="3">
        <f t="shared" si="99"/>
        <v>0</v>
      </c>
      <c r="W723">
        <f t="shared" si="100"/>
        <v>13649.75</v>
      </c>
      <c r="X723">
        <f t="shared" si="101"/>
        <v>3361.7199999999993</v>
      </c>
      <c r="Y723" s="4">
        <f t="shared" si="102"/>
        <v>0.24628436418249414</v>
      </c>
      <c r="Z723">
        <f t="shared" si="103"/>
        <v>4</v>
      </c>
      <c r="AA723">
        <f t="shared" si="104"/>
        <v>6</v>
      </c>
      <c r="AB723">
        <f t="shared" si="105"/>
        <v>2025</v>
      </c>
      <c r="AC723" t="str">
        <f t="shared" si="106"/>
        <v>Unique</v>
      </c>
      <c r="AD723" t="str">
        <f t="shared" si="107"/>
        <v>Clean</v>
      </c>
    </row>
    <row r="724" spans="1:30" x14ac:dyDescent="0.3">
      <c r="A724" t="s">
        <v>2255</v>
      </c>
      <c r="B724" s="2">
        <v>45572</v>
      </c>
      <c r="C724" s="2">
        <v>45575</v>
      </c>
      <c r="D724" t="s">
        <v>2256</v>
      </c>
      <c r="E724" t="s">
        <v>80</v>
      </c>
      <c r="F724" t="s">
        <v>33</v>
      </c>
      <c r="G724" t="s">
        <v>47</v>
      </c>
      <c r="H724" t="s">
        <v>108</v>
      </c>
      <c r="I724" t="s">
        <v>109</v>
      </c>
      <c r="J724" t="s">
        <v>50</v>
      </c>
      <c r="K724" t="s">
        <v>75</v>
      </c>
      <c r="L724" t="s">
        <v>2257</v>
      </c>
      <c r="M724" t="s">
        <v>40</v>
      </c>
      <c r="N724">
        <v>9</v>
      </c>
      <c r="O724">
        <v>481.51</v>
      </c>
      <c r="P724" s="3"/>
      <c r="Q724">
        <v>4333.59</v>
      </c>
      <c r="R724">
        <v>2533.59</v>
      </c>
      <c r="S724">
        <v>1800</v>
      </c>
      <c r="T724" t="s">
        <v>111</v>
      </c>
      <c r="U724" t="s">
        <v>77</v>
      </c>
      <c r="V724" s="3">
        <f t="shared" si="99"/>
        <v>0</v>
      </c>
      <c r="W724">
        <f t="shared" si="100"/>
        <v>4333.59</v>
      </c>
      <c r="X724">
        <f t="shared" si="101"/>
        <v>1800</v>
      </c>
      <c r="Y724" s="4">
        <f t="shared" si="102"/>
        <v>0.41536001329152039</v>
      </c>
      <c r="Z724">
        <f t="shared" si="103"/>
        <v>3</v>
      </c>
      <c r="AA724">
        <f t="shared" si="104"/>
        <v>10</v>
      </c>
      <c r="AB724">
        <f t="shared" si="105"/>
        <v>2024</v>
      </c>
      <c r="AC724" t="str">
        <f t="shared" si="106"/>
        <v>Unique</v>
      </c>
      <c r="AD724" t="str">
        <f t="shared" si="107"/>
        <v>Warning</v>
      </c>
    </row>
    <row r="725" spans="1:30" x14ac:dyDescent="0.3">
      <c r="A725" t="s">
        <v>2258</v>
      </c>
      <c r="B725" s="2">
        <v>45936</v>
      </c>
      <c r="C725" s="2">
        <v>45943</v>
      </c>
      <c r="D725" t="s">
        <v>2259</v>
      </c>
      <c r="E725" t="s">
        <v>274</v>
      </c>
      <c r="F725" t="s">
        <v>104</v>
      </c>
      <c r="G725" t="s">
        <v>47</v>
      </c>
      <c r="H725" t="s">
        <v>238</v>
      </c>
      <c r="I725" t="s">
        <v>239</v>
      </c>
      <c r="J725" t="s">
        <v>83</v>
      </c>
      <c r="K725" t="s">
        <v>84</v>
      </c>
      <c r="L725" t="s">
        <v>2260</v>
      </c>
      <c r="M725" t="s">
        <v>68</v>
      </c>
      <c r="N725">
        <v>6</v>
      </c>
      <c r="O725">
        <v>2391.9299999999998</v>
      </c>
      <c r="P725" s="3">
        <v>0.05</v>
      </c>
      <c r="Q725">
        <v>13634</v>
      </c>
      <c r="R725">
        <v>9589.81</v>
      </c>
      <c r="S725">
        <v>4044.19</v>
      </c>
      <c r="T725" t="s">
        <v>164</v>
      </c>
      <c r="U725" t="s">
        <v>112</v>
      </c>
      <c r="V725" s="3">
        <f t="shared" si="99"/>
        <v>0.05</v>
      </c>
      <c r="W725">
        <f t="shared" si="100"/>
        <v>13634.000999999998</v>
      </c>
      <c r="X725">
        <f t="shared" si="101"/>
        <v>4044.1909999999989</v>
      </c>
      <c r="Y725" s="4">
        <f t="shared" si="102"/>
        <v>0.29662539998346776</v>
      </c>
      <c r="Z725">
        <f t="shared" si="103"/>
        <v>7</v>
      </c>
      <c r="AA725">
        <f t="shared" si="104"/>
        <v>10</v>
      </c>
      <c r="AB725">
        <f t="shared" si="105"/>
        <v>2025</v>
      </c>
      <c r="AC725" t="str">
        <f t="shared" si="106"/>
        <v>Unique</v>
      </c>
      <c r="AD725" t="str">
        <f t="shared" si="107"/>
        <v>Warning</v>
      </c>
    </row>
    <row r="726" spans="1:30" x14ac:dyDescent="0.3">
      <c r="A726" t="s">
        <v>2261</v>
      </c>
      <c r="B726" s="2">
        <v>45332</v>
      </c>
      <c r="C726" s="2">
        <v>45338</v>
      </c>
      <c r="D726" t="s">
        <v>2262</v>
      </c>
      <c r="E726" t="s">
        <v>32</v>
      </c>
      <c r="F726" t="s">
        <v>33</v>
      </c>
      <c r="G726" t="s">
        <v>72</v>
      </c>
      <c r="H726" t="s">
        <v>199</v>
      </c>
      <c r="I726" t="s">
        <v>200</v>
      </c>
      <c r="J726" t="s">
        <v>50</v>
      </c>
      <c r="K726" t="s">
        <v>66</v>
      </c>
      <c r="L726" t="s">
        <v>2263</v>
      </c>
      <c r="M726" t="s">
        <v>40</v>
      </c>
      <c r="N726">
        <v>3</v>
      </c>
      <c r="O726">
        <v>253.43</v>
      </c>
      <c r="P726" s="3">
        <v>0</v>
      </c>
      <c r="Q726">
        <v>760.29</v>
      </c>
      <c r="R726">
        <v>497.77</v>
      </c>
      <c r="S726">
        <v>262.52</v>
      </c>
      <c r="T726" t="s">
        <v>41</v>
      </c>
      <c r="U726" t="s">
        <v>42</v>
      </c>
      <c r="V726" s="3">
        <f t="shared" si="99"/>
        <v>0</v>
      </c>
      <c r="W726">
        <f t="shared" si="100"/>
        <v>760.29</v>
      </c>
      <c r="X726">
        <f t="shared" si="101"/>
        <v>262.52</v>
      </c>
      <c r="Y726" s="4">
        <f t="shared" si="102"/>
        <v>0.34528929750489945</v>
      </c>
      <c r="Z726">
        <f t="shared" si="103"/>
        <v>6</v>
      </c>
      <c r="AA726">
        <f t="shared" si="104"/>
        <v>2</v>
      </c>
      <c r="AB726">
        <f t="shared" si="105"/>
        <v>2024</v>
      </c>
      <c r="AC726" t="str">
        <f t="shared" si="106"/>
        <v>Unique</v>
      </c>
      <c r="AD726" t="str">
        <f t="shared" si="107"/>
        <v>Clean</v>
      </c>
    </row>
    <row r="727" spans="1:30" x14ac:dyDescent="0.3">
      <c r="A727" t="s">
        <v>2264</v>
      </c>
      <c r="B727" s="2">
        <v>45935</v>
      </c>
      <c r="C727" s="2">
        <v>45942</v>
      </c>
      <c r="D727" t="s">
        <v>2265</v>
      </c>
      <c r="E727" t="s">
        <v>123</v>
      </c>
      <c r="F727" t="s">
        <v>99</v>
      </c>
      <c r="G727" t="s">
        <v>63</v>
      </c>
      <c r="H727" t="s">
        <v>184</v>
      </c>
      <c r="I727" t="s">
        <v>185</v>
      </c>
      <c r="J727" t="s">
        <v>50</v>
      </c>
      <c r="K727" t="s">
        <v>51</v>
      </c>
      <c r="L727" t="s">
        <v>2266</v>
      </c>
      <c r="M727" t="s">
        <v>40</v>
      </c>
      <c r="N727">
        <v>7</v>
      </c>
      <c r="O727">
        <v>2134.73</v>
      </c>
      <c r="P727" s="3">
        <v>0</v>
      </c>
      <c r="Q727">
        <v>14943.11</v>
      </c>
      <c r="R727">
        <v>8521.5</v>
      </c>
      <c r="S727">
        <v>6421.61</v>
      </c>
      <c r="T727" t="s">
        <v>41</v>
      </c>
      <c r="U727" t="s">
        <v>42</v>
      </c>
      <c r="V727" s="3">
        <f t="shared" si="99"/>
        <v>0</v>
      </c>
      <c r="W727">
        <f t="shared" si="100"/>
        <v>14943.11</v>
      </c>
      <c r="X727">
        <f t="shared" si="101"/>
        <v>6421.6100000000006</v>
      </c>
      <c r="Y727" s="4">
        <f t="shared" si="102"/>
        <v>0.42973718322357263</v>
      </c>
      <c r="Z727">
        <f t="shared" si="103"/>
        <v>7</v>
      </c>
      <c r="AA727">
        <f t="shared" si="104"/>
        <v>10</v>
      </c>
      <c r="AB727">
        <f t="shared" si="105"/>
        <v>2025</v>
      </c>
      <c r="AC727" t="str">
        <f t="shared" si="106"/>
        <v>Unique</v>
      </c>
      <c r="AD727" t="str">
        <f t="shared" si="107"/>
        <v>Clean</v>
      </c>
    </row>
    <row r="728" spans="1:30" x14ac:dyDescent="0.3">
      <c r="A728" t="s">
        <v>2267</v>
      </c>
      <c r="B728" s="2">
        <v>45308</v>
      </c>
      <c r="C728" s="2">
        <v>45314</v>
      </c>
      <c r="D728" t="s">
        <v>2268</v>
      </c>
      <c r="E728" t="s">
        <v>274</v>
      </c>
      <c r="F728" t="s">
        <v>104</v>
      </c>
      <c r="G728" t="s">
        <v>72</v>
      </c>
      <c r="H728" t="s">
        <v>189</v>
      </c>
      <c r="I728" t="s">
        <v>190</v>
      </c>
      <c r="J728" t="s">
        <v>83</v>
      </c>
      <c r="K728" t="s">
        <v>180</v>
      </c>
      <c r="L728" t="s">
        <v>2269</v>
      </c>
      <c r="M728" t="s">
        <v>68</v>
      </c>
      <c r="N728">
        <v>5</v>
      </c>
      <c r="O728">
        <v>2018</v>
      </c>
      <c r="P728" s="3">
        <v>0.2</v>
      </c>
      <c r="Q728">
        <v>8072</v>
      </c>
      <c r="R728">
        <v>5379.22</v>
      </c>
      <c r="S728">
        <v>2692.78</v>
      </c>
      <c r="T728" t="s">
        <v>120</v>
      </c>
      <c r="U728" t="s">
        <v>112</v>
      </c>
      <c r="V728" s="3">
        <f t="shared" si="99"/>
        <v>0.2</v>
      </c>
      <c r="W728">
        <f t="shared" si="100"/>
        <v>8072</v>
      </c>
      <c r="X728">
        <f t="shared" si="101"/>
        <v>2692.7799999999997</v>
      </c>
      <c r="Y728" s="4">
        <f t="shared" si="102"/>
        <v>0.33359514370664023</v>
      </c>
      <c r="Z728">
        <f t="shared" si="103"/>
        <v>6</v>
      </c>
      <c r="AA728">
        <f t="shared" si="104"/>
        <v>1</v>
      </c>
      <c r="AB728">
        <f t="shared" si="105"/>
        <v>2024</v>
      </c>
      <c r="AC728" t="str">
        <f t="shared" si="106"/>
        <v>Unique</v>
      </c>
      <c r="AD728" t="str">
        <f t="shared" si="107"/>
        <v>Clean</v>
      </c>
    </row>
    <row r="729" spans="1:30" x14ac:dyDescent="0.3">
      <c r="A729" t="s">
        <v>2270</v>
      </c>
      <c r="B729" s="2">
        <v>45578</v>
      </c>
      <c r="C729" s="2">
        <v>45578</v>
      </c>
      <c r="D729" t="s">
        <v>2271</v>
      </c>
      <c r="E729" t="s">
        <v>137</v>
      </c>
      <c r="F729" t="s">
        <v>46</v>
      </c>
      <c r="G729" t="s">
        <v>47</v>
      </c>
      <c r="H729" t="s">
        <v>175</v>
      </c>
      <c r="I729" t="s">
        <v>176</v>
      </c>
      <c r="J729" t="s">
        <v>83</v>
      </c>
      <c r="K729" t="s">
        <v>84</v>
      </c>
      <c r="L729" t="s">
        <v>2272</v>
      </c>
      <c r="M729" t="s">
        <v>40</v>
      </c>
      <c r="N729">
        <v>8</v>
      </c>
      <c r="O729">
        <v>3730.66</v>
      </c>
      <c r="P729" s="3">
        <v>0.05</v>
      </c>
      <c r="Q729">
        <v>28353.02</v>
      </c>
      <c r="R729">
        <v>19257.849999999999</v>
      </c>
      <c r="S729">
        <v>9095.17</v>
      </c>
      <c r="T729" t="s">
        <v>41</v>
      </c>
      <c r="U729" t="s">
        <v>42</v>
      </c>
      <c r="V729" s="3">
        <f t="shared" si="99"/>
        <v>0.05</v>
      </c>
      <c r="W729">
        <f t="shared" si="100"/>
        <v>28353.015999999996</v>
      </c>
      <c r="X729">
        <f t="shared" si="101"/>
        <v>9095.1659999999974</v>
      </c>
      <c r="Y729" s="4">
        <f t="shared" si="102"/>
        <v>0.3207830165228277</v>
      </c>
      <c r="Z729">
        <f t="shared" si="103"/>
        <v>0</v>
      </c>
      <c r="AA729">
        <f t="shared" si="104"/>
        <v>10</v>
      </c>
      <c r="AB729">
        <f t="shared" si="105"/>
        <v>2024</v>
      </c>
      <c r="AC729" t="str">
        <f t="shared" si="106"/>
        <v>Unique</v>
      </c>
      <c r="AD729" t="str">
        <f t="shared" si="107"/>
        <v>Clean</v>
      </c>
    </row>
    <row r="730" spans="1:30" x14ac:dyDescent="0.3">
      <c r="A730" t="s">
        <v>2273</v>
      </c>
      <c r="B730" s="2">
        <v>45295</v>
      </c>
      <c r="C730" s="2">
        <v>45298</v>
      </c>
      <c r="D730" t="s">
        <v>2274</v>
      </c>
      <c r="E730" t="s">
        <v>141</v>
      </c>
      <c r="F730" t="s">
        <v>46</v>
      </c>
      <c r="G730" t="s">
        <v>63</v>
      </c>
      <c r="H730" t="s">
        <v>184</v>
      </c>
      <c r="I730" t="s">
        <v>185</v>
      </c>
      <c r="J730" t="s">
        <v>83</v>
      </c>
      <c r="K730" t="s">
        <v>284</v>
      </c>
      <c r="L730" t="s">
        <v>2275</v>
      </c>
      <c r="M730" t="s">
        <v>59</v>
      </c>
      <c r="N730">
        <v>1</v>
      </c>
      <c r="O730">
        <v>2363.02</v>
      </c>
      <c r="P730" s="3">
        <v>0.15</v>
      </c>
      <c r="Q730">
        <v>2008.57</v>
      </c>
      <c r="R730">
        <v>1194.83</v>
      </c>
      <c r="S730">
        <v>813.74</v>
      </c>
      <c r="T730" t="s">
        <v>41</v>
      </c>
      <c r="U730" t="s">
        <v>42</v>
      </c>
      <c r="V730" s="3">
        <f t="shared" si="99"/>
        <v>0.15</v>
      </c>
      <c r="W730">
        <f t="shared" si="100"/>
        <v>2008.567</v>
      </c>
      <c r="X730">
        <f t="shared" si="101"/>
        <v>813.73700000000008</v>
      </c>
      <c r="Y730" s="4">
        <f t="shared" si="102"/>
        <v>0.40513311231340554</v>
      </c>
      <c r="Z730">
        <f t="shared" si="103"/>
        <v>3</v>
      </c>
      <c r="AA730">
        <f t="shared" si="104"/>
        <v>1</v>
      </c>
      <c r="AB730">
        <f t="shared" si="105"/>
        <v>2024</v>
      </c>
      <c r="AC730" t="str">
        <f t="shared" si="106"/>
        <v>Unique</v>
      </c>
      <c r="AD730" t="str">
        <f t="shared" si="107"/>
        <v>Clean</v>
      </c>
    </row>
    <row r="731" spans="1:30" x14ac:dyDescent="0.3">
      <c r="A731" t="s">
        <v>2276</v>
      </c>
      <c r="B731" s="2">
        <v>45794</v>
      </c>
      <c r="C731" s="2">
        <v>45802</v>
      </c>
      <c r="D731" t="s">
        <v>2277</v>
      </c>
      <c r="E731" t="s">
        <v>71</v>
      </c>
      <c r="F731" t="s">
        <v>99</v>
      </c>
      <c r="G731" t="s">
        <v>63</v>
      </c>
      <c r="H731" t="s">
        <v>257</v>
      </c>
      <c r="I731" t="s">
        <v>258</v>
      </c>
      <c r="J731" t="s">
        <v>83</v>
      </c>
      <c r="K731" t="s">
        <v>284</v>
      </c>
      <c r="L731" t="s">
        <v>2278</v>
      </c>
      <c r="M731" t="s">
        <v>53</v>
      </c>
      <c r="N731">
        <v>6</v>
      </c>
      <c r="O731">
        <v>1810.63</v>
      </c>
      <c r="P731" s="3">
        <v>0.15</v>
      </c>
      <c r="Q731">
        <v>9234.2099999999991</v>
      </c>
      <c r="R731">
        <v>5516.52</v>
      </c>
      <c r="S731">
        <v>3717.69</v>
      </c>
      <c r="T731" t="s">
        <v>41</v>
      </c>
      <c r="U731" t="s">
        <v>42</v>
      </c>
      <c r="V731" s="3">
        <f t="shared" si="99"/>
        <v>0.15</v>
      </c>
      <c r="W731">
        <f t="shared" si="100"/>
        <v>9234.2129999999997</v>
      </c>
      <c r="X731">
        <f t="shared" si="101"/>
        <v>3717.6929999999993</v>
      </c>
      <c r="Y731" s="4">
        <f t="shared" si="102"/>
        <v>0.40259987505161504</v>
      </c>
      <c r="Z731">
        <f t="shared" si="103"/>
        <v>8</v>
      </c>
      <c r="AA731">
        <f t="shared" si="104"/>
        <v>5</v>
      </c>
      <c r="AB731">
        <f t="shared" si="105"/>
        <v>2025</v>
      </c>
      <c r="AC731" t="str">
        <f t="shared" si="106"/>
        <v>Unique</v>
      </c>
      <c r="AD731" t="str">
        <f t="shared" si="107"/>
        <v>Clean</v>
      </c>
    </row>
    <row r="732" spans="1:30" x14ac:dyDescent="0.3">
      <c r="A732" t="s">
        <v>2279</v>
      </c>
      <c r="B732" s="2">
        <v>45827</v>
      </c>
      <c r="C732" s="2">
        <v>45832</v>
      </c>
      <c r="D732" t="s">
        <v>2280</v>
      </c>
      <c r="E732" t="s">
        <v>62</v>
      </c>
      <c r="F732" t="s">
        <v>33</v>
      </c>
      <c r="G732" t="s">
        <v>47</v>
      </c>
      <c r="H732" t="s">
        <v>108</v>
      </c>
      <c r="I732" t="s">
        <v>109</v>
      </c>
      <c r="J732" t="s">
        <v>37</v>
      </c>
      <c r="K732" t="s">
        <v>57</v>
      </c>
      <c r="L732" t="s">
        <v>2281</v>
      </c>
      <c r="M732" t="s">
        <v>40</v>
      </c>
      <c r="N732">
        <v>4</v>
      </c>
      <c r="O732">
        <v>782.01</v>
      </c>
      <c r="P732" s="3">
        <v>0.15</v>
      </c>
      <c r="Q732">
        <v>2658.83</v>
      </c>
      <c r="R732">
        <v>2226.9699999999998</v>
      </c>
      <c r="S732">
        <v>431.86</v>
      </c>
      <c r="T732" t="s">
        <v>111</v>
      </c>
      <c r="U732" t="s">
        <v>112</v>
      </c>
      <c r="V732" s="3">
        <f t="shared" si="99"/>
        <v>0.15</v>
      </c>
      <c r="W732">
        <f t="shared" si="100"/>
        <v>2658.8339999999998</v>
      </c>
      <c r="X732">
        <f t="shared" si="101"/>
        <v>431.86400000000003</v>
      </c>
      <c r="Y732" s="4">
        <f t="shared" si="102"/>
        <v>0.16242608602116568</v>
      </c>
      <c r="Z732">
        <f t="shared" si="103"/>
        <v>5</v>
      </c>
      <c r="AA732">
        <f t="shared" si="104"/>
        <v>6</v>
      </c>
      <c r="AB732">
        <f t="shared" si="105"/>
        <v>2025</v>
      </c>
      <c r="AC732" t="str">
        <f t="shared" si="106"/>
        <v>Unique</v>
      </c>
      <c r="AD732" t="str">
        <f t="shared" si="107"/>
        <v>Clean</v>
      </c>
    </row>
    <row r="733" spans="1:30" x14ac:dyDescent="0.3">
      <c r="A733" t="s">
        <v>2282</v>
      </c>
      <c r="B733" s="2">
        <v>45368</v>
      </c>
      <c r="C733" s="2">
        <v>45370</v>
      </c>
      <c r="D733" t="s">
        <v>2283</v>
      </c>
      <c r="E733" t="s">
        <v>71</v>
      </c>
      <c r="F733" t="s">
        <v>99</v>
      </c>
      <c r="G733" t="s">
        <v>47</v>
      </c>
      <c r="H733" t="s">
        <v>48</v>
      </c>
      <c r="I733" t="s">
        <v>49</v>
      </c>
      <c r="J733" t="s">
        <v>37</v>
      </c>
      <c r="K733" t="s">
        <v>162</v>
      </c>
      <c r="L733" t="s">
        <v>2284</v>
      </c>
      <c r="M733" t="s">
        <v>59</v>
      </c>
      <c r="N733">
        <v>4</v>
      </c>
      <c r="O733">
        <v>4376.68</v>
      </c>
      <c r="P733" s="3">
        <v>0.1</v>
      </c>
      <c r="Q733">
        <v>15756.05</v>
      </c>
      <c r="R733">
        <v>10245.44</v>
      </c>
      <c r="S733">
        <v>5510.61</v>
      </c>
      <c r="T733" t="s">
        <v>41</v>
      </c>
      <c r="U733" t="s">
        <v>42</v>
      </c>
      <c r="V733" s="3">
        <f t="shared" si="99"/>
        <v>0.1</v>
      </c>
      <c r="W733">
        <f t="shared" si="100"/>
        <v>15756.048000000001</v>
      </c>
      <c r="X733">
        <f t="shared" si="101"/>
        <v>5510.6080000000002</v>
      </c>
      <c r="Y733" s="4">
        <f t="shared" si="102"/>
        <v>0.3497455707167178</v>
      </c>
      <c r="Z733">
        <f t="shared" si="103"/>
        <v>2</v>
      </c>
      <c r="AA733">
        <f t="shared" si="104"/>
        <v>3</v>
      </c>
      <c r="AB733">
        <f t="shared" si="105"/>
        <v>2024</v>
      </c>
      <c r="AC733" t="str">
        <f t="shared" si="106"/>
        <v>Unique</v>
      </c>
      <c r="AD733" t="str">
        <f t="shared" si="107"/>
        <v>Clean</v>
      </c>
    </row>
    <row r="734" spans="1:30" x14ac:dyDescent="0.3">
      <c r="A734" t="s">
        <v>2285</v>
      </c>
      <c r="B734" s="2">
        <v>45624</v>
      </c>
      <c r="C734" s="2">
        <v>45632</v>
      </c>
      <c r="D734" t="s">
        <v>2286</v>
      </c>
      <c r="E734" t="s">
        <v>62</v>
      </c>
      <c r="F734" t="s">
        <v>46</v>
      </c>
      <c r="G734" t="s">
        <v>34</v>
      </c>
      <c r="H734" t="s">
        <v>131</v>
      </c>
      <c r="I734" t="s">
        <v>132</v>
      </c>
      <c r="J734" t="s">
        <v>83</v>
      </c>
      <c r="K734" t="s">
        <v>180</v>
      </c>
      <c r="L734" t="s">
        <v>2287</v>
      </c>
      <c r="M734" t="s">
        <v>68</v>
      </c>
      <c r="N734">
        <v>6</v>
      </c>
      <c r="O734">
        <v>2464.63</v>
      </c>
      <c r="P734" s="3">
        <v>0</v>
      </c>
      <c r="Q734">
        <v>14787.78</v>
      </c>
      <c r="R734">
        <v>8596.65</v>
      </c>
      <c r="S734">
        <v>6191.13</v>
      </c>
      <c r="T734" t="s">
        <v>41</v>
      </c>
      <c r="U734" t="s">
        <v>42</v>
      </c>
      <c r="V734" s="3">
        <f t="shared" si="99"/>
        <v>0</v>
      </c>
      <c r="W734">
        <f t="shared" si="100"/>
        <v>14787.78</v>
      </c>
      <c r="X734">
        <f t="shared" si="101"/>
        <v>6191.130000000001</v>
      </c>
      <c r="Y734" s="4">
        <f t="shared" si="102"/>
        <v>0.41866527632950995</v>
      </c>
      <c r="Z734">
        <f t="shared" si="103"/>
        <v>8</v>
      </c>
      <c r="AA734">
        <f t="shared" si="104"/>
        <v>11</v>
      </c>
      <c r="AB734">
        <f t="shared" si="105"/>
        <v>2024</v>
      </c>
      <c r="AC734" t="str">
        <f t="shared" si="106"/>
        <v>Unique</v>
      </c>
      <c r="AD734" t="str">
        <f t="shared" si="107"/>
        <v>Clean</v>
      </c>
    </row>
    <row r="735" spans="1:30" x14ac:dyDescent="0.3">
      <c r="A735" t="s">
        <v>2288</v>
      </c>
      <c r="B735" s="2">
        <v>45464</v>
      </c>
      <c r="C735" s="2">
        <v>45471</v>
      </c>
      <c r="D735" t="s">
        <v>2289</v>
      </c>
      <c r="E735" t="s">
        <v>137</v>
      </c>
      <c r="F735" t="s">
        <v>104</v>
      </c>
      <c r="G735" t="s">
        <v>34</v>
      </c>
      <c r="H735" t="s">
        <v>35</v>
      </c>
      <c r="I735" t="s">
        <v>36</v>
      </c>
      <c r="J735" t="s">
        <v>50</v>
      </c>
      <c r="K735" t="s">
        <v>66</v>
      </c>
      <c r="L735" t="s">
        <v>2290</v>
      </c>
      <c r="M735" t="s">
        <v>59</v>
      </c>
      <c r="N735">
        <v>9</v>
      </c>
      <c r="O735">
        <v>2797.96</v>
      </c>
      <c r="P735" s="3">
        <v>0</v>
      </c>
      <c r="Q735">
        <v>25181.64</v>
      </c>
      <c r="R735">
        <v>15337.9</v>
      </c>
      <c r="S735">
        <v>9843.74</v>
      </c>
      <c r="T735" t="s">
        <v>41</v>
      </c>
      <c r="U735" t="s">
        <v>42</v>
      </c>
      <c r="V735" s="3">
        <f t="shared" si="99"/>
        <v>0</v>
      </c>
      <c r="W735">
        <f t="shared" si="100"/>
        <v>25181.64</v>
      </c>
      <c r="X735">
        <f t="shared" si="101"/>
        <v>9843.74</v>
      </c>
      <c r="Y735" s="4">
        <f t="shared" si="102"/>
        <v>0.39090940860086953</v>
      </c>
      <c r="Z735">
        <f t="shared" si="103"/>
        <v>7</v>
      </c>
      <c r="AA735">
        <f t="shared" si="104"/>
        <v>6</v>
      </c>
      <c r="AB735">
        <f t="shared" si="105"/>
        <v>2024</v>
      </c>
      <c r="AC735" t="str">
        <f t="shared" si="106"/>
        <v>Unique</v>
      </c>
      <c r="AD735" t="str">
        <f t="shared" si="107"/>
        <v>Clean</v>
      </c>
    </row>
    <row r="736" spans="1:30" x14ac:dyDescent="0.3">
      <c r="A736" t="s">
        <v>2291</v>
      </c>
      <c r="B736" s="2">
        <v>45528</v>
      </c>
      <c r="C736" s="2">
        <v>45528</v>
      </c>
      <c r="D736" t="s">
        <v>2292</v>
      </c>
      <c r="E736" t="s">
        <v>71</v>
      </c>
      <c r="F736" t="s">
        <v>46</v>
      </c>
      <c r="G736" t="s">
        <v>34</v>
      </c>
      <c r="H736" t="s">
        <v>35</v>
      </c>
      <c r="I736" t="s">
        <v>36</v>
      </c>
      <c r="J736" t="s">
        <v>83</v>
      </c>
      <c r="K736" t="s">
        <v>84</v>
      </c>
      <c r="L736" t="s">
        <v>2293</v>
      </c>
      <c r="M736" t="s">
        <v>59</v>
      </c>
      <c r="N736">
        <v>4</v>
      </c>
      <c r="O736">
        <v>2761.86</v>
      </c>
      <c r="P736" s="3">
        <v>0.2</v>
      </c>
      <c r="Q736">
        <v>8837.9500000000007</v>
      </c>
      <c r="R736">
        <v>6157.27</v>
      </c>
      <c r="S736">
        <v>2680.68</v>
      </c>
      <c r="T736" t="s">
        <v>41</v>
      </c>
      <c r="U736" t="s">
        <v>42</v>
      </c>
      <c r="V736" s="3">
        <f t="shared" si="99"/>
        <v>0.2</v>
      </c>
      <c r="W736">
        <f t="shared" si="100"/>
        <v>8837.9520000000011</v>
      </c>
      <c r="X736">
        <f t="shared" si="101"/>
        <v>2680.6820000000007</v>
      </c>
      <c r="Y736" s="4">
        <f t="shared" si="102"/>
        <v>0.30331484036120587</v>
      </c>
      <c r="Z736">
        <f t="shared" si="103"/>
        <v>0</v>
      </c>
      <c r="AA736">
        <f t="shared" si="104"/>
        <v>8</v>
      </c>
      <c r="AB736">
        <f t="shared" si="105"/>
        <v>2024</v>
      </c>
      <c r="AC736" t="str">
        <f t="shared" si="106"/>
        <v>Unique</v>
      </c>
      <c r="AD736" t="str">
        <f t="shared" si="107"/>
        <v>Clean</v>
      </c>
    </row>
    <row r="737" spans="1:30" x14ac:dyDescent="0.3">
      <c r="A737" t="s">
        <v>2294</v>
      </c>
      <c r="B737" s="2">
        <v>45515</v>
      </c>
      <c r="C737" s="2">
        <v>45523</v>
      </c>
      <c r="D737" t="s">
        <v>2295</v>
      </c>
      <c r="E737" t="s">
        <v>45</v>
      </c>
      <c r="F737" t="s">
        <v>33</v>
      </c>
      <c r="G737" t="s">
        <v>72</v>
      </c>
      <c r="H737" t="s">
        <v>73</v>
      </c>
      <c r="I737" t="s">
        <v>74</v>
      </c>
      <c r="J737" t="s">
        <v>50</v>
      </c>
      <c r="K737" t="s">
        <v>51</v>
      </c>
      <c r="L737" t="s">
        <v>2296</v>
      </c>
      <c r="M737" t="s">
        <v>68</v>
      </c>
      <c r="N737">
        <v>6</v>
      </c>
      <c r="O737">
        <v>1515.79</v>
      </c>
      <c r="P737" s="3">
        <v>0.2</v>
      </c>
      <c r="Q737">
        <v>7275.79</v>
      </c>
      <c r="R737">
        <v>6152.87</v>
      </c>
      <c r="S737">
        <v>1122.92</v>
      </c>
      <c r="T737" t="s">
        <v>41</v>
      </c>
      <c r="U737" t="s">
        <v>42</v>
      </c>
      <c r="V737" s="3">
        <f t="shared" si="99"/>
        <v>0.2</v>
      </c>
      <c r="W737">
        <f t="shared" si="100"/>
        <v>7275.7920000000004</v>
      </c>
      <c r="X737">
        <f t="shared" si="101"/>
        <v>1122.9220000000005</v>
      </c>
      <c r="Y737" s="4">
        <f t="shared" si="102"/>
        <v>0.15433673749881804</v>
      </c>
      <c r="Z737">
        <f t="shared" si="103"/>
        <v>8</v>
      </c>
      <c r="AA737">
        <f t="shared" si="104"/>
        <v>8</v>
      </c>
      <c r="AB737">
        <f t="shared" si="105"/>
        <v>2024</v>
      </c>
      <c r="AC737" t="str">
        <f t="shared" si="106"/>
        <v>Unique</v>
      </c>
      <c r="AD737" t="str">
        <f t="shared" si="107"/>
        <v>Clean</v>
      </c>
    </row>
    <row r="738" spans="1:30" x14ac:dyDescent="0.3">
      <c r="A738" t="s">
        <v>2297</v>
      </c>
      <c r="B738" s="2">
        <v>45632</v>
      </c>
      <c r="C738" s="2">
        <v>45635</v>
      </c>
      <c r="D738" t="s">
        <v>2298</v>
      </c>
      <c r="E738" t="s">
        <v>98</v>
      </c>
      <c r="F738" t="s">
        <v>33</v>
      </c>
      <c r="G738" t="s">
        <v>72</v>
      </c>
      <c r="H738" t="s">
        <v>73</v>
      </c>
      <c r="I738" t="s">
        <v>74</v>
      </c>
      <c r="J738" t="s">
        <v>50</v>
      </c>
      <c r="K738" t="s">
        <v>75</v>
      </c>
      <c r="L738" t="s">
        <v>2299</v>
      </c>
      <c r="M738" t="s">
        <v>40</v>
      </c>
      <c r="N738">
        <v>9</v>
      </c>
      <c r="O738">
        <v>290.75</v>
      </c>
      <c r="P738" s="3">
        <v>0.1</v>
      </c>
      <c r="Q738">
        <v>2355.08</v>
      </c>
      <c r="R738">
        <v>1350.03</v>
      </c>
      <c r="S738">
        <v>1005.05</v>
      </c>
      <c r="T738" t="s">
        <v>41</v>
      </c>
      <c r="U738" t="s">
        <v>42</v>
      </c>
      <c r="V738" s="3">
        <f t="shared" si="99"/>
        <v>0.1</v>
      </c>
      <c r="W738">
        <f t="shared" si="100"/>
        <v>2355.0750000000003</v>
      </c>
      <c r="X738">
        <f t="shared" si="101"/>
        <v>1005.0450000000003</v>
      </c>
      <c r="Y738" s="4">
        <f t="shared" si="102"/>
        <v>0.42675710964618968</v>
      </c>
      <c r="Z738">
        <f t="shared" si="103"/>
        <v>3</v>
      </c>
      <c r="AA738">
        <f t="shared" si="104"/>
        <v>12</v>
      </c>
      <c r="AB738">
        <f t="shared" si="105"/>
        <v>2024</v>
      </c>
      <c r="AC738" t="str">
        <f t="shared" si="106"/>
        <v>Unique</v>
      </c>
      <c r="AD738" t="str">
        <f t="shared" si="107"/>
        <v>Clean</v>
      </c>
    </row>
    <row r="739" spans="1:30" x14ac:dyDescent="0.3">
      <c r="A739" t="s">
        <v>2300</v>
      </c>
      <c r="B739" s="2">
        <v>45332</v>
      </c>
      <c r="C739" s="2">
        <v>45332</v>
      </c>
      <c r="D739" t="s">
        <v>2301</v>
      </c>
      <c r="E739" t="s">
        <v>56</v>
      </c>
      <c r="F739" t="s">
        <v>104</v>
      </c>
      <c r="G739" t="s">
        <v>72</v>
      </c>
      <c r="H739" t="s">
        <v>73</v>
      </c>
      <c r="I739" t="s">
        <v>74</v>
      </c>
      <c r="J739" t="s">
        <v>50</v>
      </c>
      <c r="K739" t="s">
        <v>75</v>
      </c>
      <c r="L739" t="s">
        <v>2302</v>
      </c>
      <c r="M739" t="s">
        <v>53</v>
      </c>
      <c r="N739">
        <v>6</v>
      </c>
      <c r="O739">
        <v>601.52</v>
      </c>
      <c r="P739" s="3">
        <v>0</v>
      </c>
      <c r="Q739">
        <v>3609.12</v>
      </c>
      <c r="R739">
        <v>2645.5</v>
      </c>
      <c r="S739">
        <v>963.62</v>
      </c>
      <c r="T739" t="s">
        <v>41</v>
      </c>
      <c r="U739" t="s">
        <v>42</v>
      </c>
      <c r="V739" s="3">
        <f t="shared" si="99"/>
        <v>0</v>
      </c>
      <c r="W739">
        <f t="shared" si="100"/>
        <v>3609.12</v>
      </c>
      <c r="X739">
        <f t="shared" si="101"/>
        <v>963.61999999999989</v>
      </c>
      <c r="Y739" s="4">
        <f t="shared" si="102"/>
        <v>0.2669958327791816</v>
      </c>
      <c r="Z739">
        <f t="shared" si="103"/>
        <v>0</v>
      </c>
      <c r="AA739">
        <f t="shared" si="104"/>
        <v>2</v>
      </c>
      <c r="AB739">
        <f t="shared" si="105"/>
        <v>2024</v>
      </c>
      <c r="AC739" t="str">
        <f t="shared" si="106"/>
        <v>Unique</v>
      </c>
      <c r="AD739" t="str">
        <f t="shared" si="107"/>
        <v>Clean</v>
      </c>
    </row>
    <row r="740" spans="1:30" x14ac:dyDescent="0.3">
      <c r="A740" t="s">
        <v>2303</v>
      </c>
      <c r="B740" s="2">
        <v>45708</v>
      </c>
      <c r="C740" s="2">
        <v>45710</v>
      </c>
      <c r="D740" t="s">
        <v>2304</v>
      </c>
      <c r="E740" t="s">
        <v>123</v>
      </c>
      <c r="F740" t="s">
        <v>99</v>
      </c>
      <c r="G740" t="s">
        <v>63</v>
      </c>
      <c r="H740" t="s">
        <v>194</v>
      </c>
      <c r="I740" t="s">
        <v>195</v>
      </c>
      <c r="J740" t="s">
        <v>37</v>
      </c>
      <c r="K740" t="s">
        <v>38</v>
      </c>
      <c r="L740" t="s">
        <v>2305</v>
      </c>
      <c r="M740" t="s">
        <v>59</v>
      </c>
      <c r="N740">
        <v>1</v>
      </c>
      <c r="O740">
        <v>2188.19</v>
      </c>
      <c r="P740" s="3">
        <v>0</v>
      </c>
      <c r="Q740">
        <v>2188.19</v>
      </c>
      <c r="R740">
        <v>1298.8399999999999</v>
      </c>
      <c r="S740">
        <v>889.35</v>
      </c>
      <c r="T740" t="s">
        <v>41</v>
      </c>
      <c r="U740" t="s">
        <v>42</v>
      </c>
      <c r="V740" s="3">
        <f t="shared" si="99"/>
        <v>0</v>
      </c>
      <c r="W740">
        <f t="shared" si="100"/>
        <v>2188.19</v>
      </c>
      <c r="X740">
        <f t="shared" si="101"/>
        <v>889.35000000000014</v>
      </c>
      <c r="Y740" s="4">
        <f t="shared" si="102"/>
        <v>0.40643179979800664</v>
      </c>
      <c r="Z740">
        <f t="shared" si="103"/>
        <v>2</v>
      </c>
      <c r="AA740">
        <f t="shared" si="104"/>
        <v>2</v>
      </c>
      <c r="AB740">
        <f t="shared" si="105"/>
        <v>2025</v>
      </c>
      <c r="AC740" t="str">
        <f t="shared" si="106"/>
        <v>Unique</v>
      </c>
      <c r="AD740" t="str">
        <f t="shared" si="107"/>
        <v>Clean</v>
      </c>
    </row>
    <row r="741" spans="1:30" x14ac:dyDescent="0.3">
      <c r="A741" t="s">
        <v>2306</v>
      </c>
      <c r="B741" s="2">
        <v>45629</v>
      </c>
      <c r="C741" s="2">
        <v>45636</v>
      </c>
      <c r="D741" t="s">
        <v>2307</v>
      </c>
      <c r="E741" t="s">
        <v>88</v>
      </c>
      <c r="F741" t="s">
        <v>99</v>
      </c>
      <c r="G741" t="s">
        <v>34</v>
      </c>
      <c r="H741" t="s">
        <v>35</v>
      </c>
      <c r="I741" t="s">
        <v>36</v>
      </c>
      <c r="J741" t="s">
        <v>83</v>
      </c>
      <c r="K741" t="s">
        <v>180</v>
      </c>
      <c r="L741" t="s">
        <v>2308</v>
      </c>
      <c r="M741" t="s">
        <v>68</v>
      </c>
      <c r="N741">
        <v>5</v>
      </c>
      <c r="O741">
        <v>2393.86</v>
      </c>
      <c r="P741" s="3">
        <v>0.05</v>
      </c>
      <c r="Q741">
        <v>11370.84</v>
      </c>
      <c r="R741">
        <v>7469.58</v>
      </c>
      <c r="S741">
        <v>3901.26</v>
      </c>
      <c r="T741" t="s">
        <v>41</v>
      </c>
      <c r="U741" t="s">
        <v>42</v>
      </c>
      <c r="V741" s="3">
        <f t="shared" si="99"/>
        <v>0.05</v>
      </c>
      <c r="W741">
        <f t="shared" si="100"/>
        <v>11370.835000000001</v>
      </c>
      <c r="X741">
        <f t="shared" si="101"/>
        <v>3901.255000000001</v>
      </c>
      <c r="Y741" s="4">
        <f t="shared" si="102"/>
        <v>0.34309309738466881</v>
      </c>
      <c r="Z741">
        <f t="shared" si="103"/>
        <v>7</v>
      </c>
      <c r="AA741">
        <f t="shared" si="104"/>
        <v>12</v>
      </c>
      <c r="AB741">
        <f t="shared" si="105"/>
        <v>2024</v>
      </c>
      <c r="AC741" t="str">
        <f t="shared" si="106"/>
        <v>Unique</v>
      </c>
      <c r="AD741" t="str">
        <f t="shared" si="107"/>
        <v>Clean</v>
      </c>
    </row>
    <row r="742" spans="1:30" x14ac:dyDescent="0.3">
      <c r="A742" t="s">
        <v>2309</v>
      </c>
      <c r="B742" s="2">
        <v>45384</v>
      </c>
      <c r="C742" s="2">
        <v>45384</v>
      </c>
      <c r="D742" t="s">
        <v>532</v>
      </c>
      <c r="E742" t="s">
        <v>141</v>
      </c>
      <c r="F742" t="s">
        <v>46</v>
      </c>
      <c r="G742" t="s">
        <v>72</v>
      </c>
      <c r="H742" t="s">
        <v>73</v>
      </c>
      <c r="I742" t="s">
        <v>74</v>
      </c>
      <c r="J742" t="s">
        <v>50</v>
      </c>
      <c r="K742" t="s">
        <v>75</v>
      </c>
      <c r="L742" t="s">
        <v>2310</v>
      </c>
      <c r="M742" t="s">
        <v>59</v>
      </c>
      <c r="N742">
        <v>4</v>
      </c>
      <c r="O742">
        <v>2583</v>
      </c>
      <c r="P742" s="3">
        <v>0.1</v>
      </c>
      <c r="Q742">
        <v>9298.7999999999993</v>
      </c>
      <c r="R742">
        <v>6548.5</v>
      </c>
      <c r="S742">
        <v>2750.3</v>
      </c>
      <c r="T742" t="s">
        <v>41</v>
      </c>
      <c r="U742" t="s">
        <v>42</v>
      </c>
      <c r="V742" s="3">
        <f t="shared" si="99"/>
        <v>0.1</v>
      </c>
      <c r="W742">
        <f t="shared" si="100"/>
        <v>9298.8000000000011</v>
      </c>
      <c r="X742">
        <f t="shared" si="101"/>
        <v>2750.3000000000011</v>
      </c>
      <c r="Y742" s="4">
        <f t="shared" si="102"/>
        <v>0.29576934658235482</v>
      </c>
      <c r="Z742">
        <f t="shared" si="103"/>
        <v>0</v>
      </c>
      <c r="AA742">
        <f t="shared" si="104"/>
        <v>4</v>
      </c>
      <c r="AB742">
        <f t="shared" si="105"/>
        <v>2024</v>
      </c>
      <c r="AC742" t="str">
        <f t="shared" si="106"/>
        <v>Unique</v>
      </c>
      <c r="AD742" t="str">
        <f t="shared" si="107"/>
        <v>Clean</v>
      </c>
    </row>
    <row r="743" spans="1:30" x14ac:dyDescent="0.3">
      <c r="A743" t="s">
        <v>2311</v>
      </c>
      <c r="B743" s="2">
        <v>45770</v>
      </c>
      <c r="C743" s="2">
        <v>45772</v>
      </c>
      <c r="D743" t="s">
        <v>2312</v>
      </c>
      <c r="E743" t="s">
        <v>56</v>
      </c>
      <c r="F743" t="s">
        <v>104</v>
      </c>
      <c r="G743" t="s">
        <v>63</v>
      </c>
      <c r="H743" t="s">
        <v>257</v>
      </c>
      <c r="I743" t="s">
        <v>258</v>
      </c>
      <c r="J743" t="s">
        <v>50</v>
      </c>
      <c r="K743" t="s">
        <v>75</v>
      </c>
      <c r="L743" t="s">
        <v>2313</v>
      </c>
      <c r="M743" t="s">
        <v>40</v>
      </c>
      <c r="N743">
        <v>3</v>
      </c>
      <c r="O743">
        <v>2951.12</v>
      </c>
      <c r="P743" s="3"/>
      <c r="Q743">
        <v>7082.69</v>
      </c>
      <c r="R743">
        <v>5596.34</v>
      </c>
      <c r="S743">
        <v>1486.35</v>
      </c>
      <c r="T743" t="s">
        <v>41</v>
      </c>
      <c r="U743" t="s">
        <v>77</v>
      </c>
      <c r="V743" s="3">
        <f t="shared" si="99"/>
        <v>0</v>
      </c>
      <c r="W743">
        <f t="shared" si="100"/>
        <v>8853.36</v>
      </c>
      <c r="X743">
        <f t="shared" si="101"/>
        <v>3257.0200000000004</v>
      </c>
      <c r="Y743" s="4">
        <f t="shared" si="102"/>
        <v>0.36788518709280998</v>
      </c>
      <c r="Z743">
        <f t="shared" si="103"/>
        <v>2</v>
      </c>
      <c r="AA743">
        <f t="shared" si="104"/>
        <v>4</v>
      </c>
      <c r="AB743">
        <f t="shared" si="105"/>
        <v>2025</v>
      </c>
      <c r="AC743" t="str">
        <f t="shared" si="106"/>
        <v>Unique</v>
      </c>
      <c r="AD743" t="str">
        <f t="shared" si="107"/>
        <v>Warning</v>
      </c>
    </row>
    <row r="744" spans="1:30" x14ac:dyDescent="0.3">
      <c r="A744" t="s">
        <v>2314</v>
      </c>
      <c r="B744" s="2">
        <v>45580</v>
      </c>
      <c r="C744" s="2">
        <v>45587</v>
      </c>
      <c r="D744" t="s">
        <v>2315</v>
      </c>
      <c r="E744" t="s">
        <v>32</v>
      </c>
      <c r="F744" t="s">
        <v>99</v>
      </c>
      <c r="G744" t="s">
        <v>47</v>
      </c>
      <c r="H744" t="s">
        <v>48</v>
      </c>
      <c r="I744" t="s">
        <v>49</v>
      </c>
      <c r="J744" t="s">
        <v>37</v>
      </c>
      <c r="K744" t="s">
        <v>38</v>
      </c>
      <c r="L744" t="s">
        <v>2316</v>
      </c>
      <c r="M744" t="s">
        <v>68</v>
      </c>
      <c r="N744">
        <v>4</v>
      </c>
      <c r="O744">
        <v>2260.9499999999998</v>
      </c>
      <c r="P744" s="3">
        <v>0</v>
      </c>
      <c r="Q744">
        <v>9043.7999999999993</v>
      </c>
      <c r="R744">
        <v>5913.38</v>
      </c>
      <c r="S744">
        <v>3130.42</v>
      </c>
      <c r="T744" t="s">
        <v>41</v>
      </c>
      <c r="U744" t="s">
        <v>42</v>
      </c>
      <c r="V744" s="3">
        <f t="shared" si="99"/>
        <v>0</v>
      </c>
      <c r="W744">
        <f t="shared" si="100"/>
        <v>9043.7999999999993</v>
      </c>
      <c r="X744">
        <f t="shared" si="101"/>
        <v>3130.4199999999992</v>
      </c>
      <c r="Y744" s="4">
        <f t="shared" si="102"/>
        <v>0.34613989694597397</v>
      </c>
      <c r="Z744">
        <f t="shared" si="103"/>
        <v>7</v>
      </c>
      <c r="AA744">
        <f t="shared" si="104"/>
        <v>10</v>
      </c>
      <c r="AB744">
        <f t="shared" si="105"/>
        <v>2024</v>
      </c>
      <c r="AC744" t="str">
        <f t="shared" si="106"/>
        <v>Unique</v>
      </c>
      <c r="AD744" t="str">
        <f t="shared" si="107"/>
        <v>Clean</v>
      </c>
    </row>
    <row r="745" spans="1:30" x14ac:dyDescent="0.3">
      <c r="A745" t="s">
        <v>2317</v>
      </c>
      <c r="B745" s="2">
        <v>45700</v>
      </c>
      <c r="C745" s="2">
        <v>45702</v>
      </c>
      <c r="D745" t="s">
        <v>2318</v>
      </c>
      <c r="E745" t="s">
        <v>141</v>
      </c>
      <c r="F745" t="s">
        <v>33</v>
      </c>
      <c r="G745" t="s">
        <v>34</v>
      </c>
      <c r="H745" t="s">
        <v>145</v>
      </c>
      <c r="I745" t="s">
        <v>146</v>
      </c>
      <c r="J745" t="s">
        <v>37</v>
      </c>
      <c r="K745" t="s">
        <v>57</v>
      </c>
      <c r="L745" t="s">
        <v>2319</v>
      </c>
      <c r="M745" t="s">
        <v>68</v>
      </c>
      <c r="N745">
        <v>6</v>
      </c>
      <c r="O745">
        <v>491.4</v>
      </c>
      <c r="P745" s="3">
        <v>0.25</v>
      </c>
      <c r="Q745">
        <v>2211.3000000000002</v>
      </c>
      <c r="R745">
        <v>1735.64</v>
      </c>
      <c r="S745">
        <v>475.66</v>
      </c>
      <c r="T745" t="s">
        <v>41</v>
      </c>
      <c r="U745" t="s">
        <v>42</v>
      </c>
      <c r="V745" s="3">
        <f t="shared" si="99"/>
        <v>0.25</v>
      </c>
      <c r="W745">
        <f t="shared" si="100"/>
        <v>2211.2999999999997</v>
      </c>
      <c r="X745">
        <f t="shared" si="101"/>
        <v>475.65999999999963</v>
      </c>
      <c r="Y745" s="4">
        <f t="shared" si="102"/>
        <v>0.21510423732645942</v>
      </c>
      <c r="Z745">
        <f t="shared" si="103"/>
        <v>2</v>
      </c>
      <c r="AA745">
        <f t="shared" si="104"/>
        <v>2</v>
      </c>
      <c r="AB745">
        <f t="shared" si="105"/>
        <v>2025</v>
      </c>
      <c r="AC745" t="str">
        <f t="shared" si="106"/>
        <v>Unique</v>
      </c>
      <c r="AD745" t="str">
        <f t="shared" si="107"/>
        <v>Clean</v>
      </c>
    </row>
    <row r="746" spans="1:30" x14ac:dyDescent="0.3">
      <c r="A746" t="s">
        <v>2320</v>
      </c>
      <c r="B746" s="2">
        <v>45886</v>
      </c>
      <c r="C746" s="2">
        <v>45889</v>
      </c>
      <c r="D746" t="s">
        <v>2321</v>
      </c>
      <c r="E746" t="s">
        <v>45</v>
      </c>
      <c r="F746" t="s">
        <v>104</v>
      </c>
      <c r="G746" t="s">
        <v>34</v>
      </c>
      <c r="H746" t="s">
        <v>131</v>
      </c>
      <c r="I746" t="s">
        <v>132</v>
      </c>
      <c r="J746" t="s">
        <v>37</v>
      </c>
      <c r="K746" t="s">
        <v>162</v>
      </c>
      <c r="L746" t="s">
        <v>2322</v>
      </c>
      <c r="M746" t="s">
        <v>59</v>
      </c>
      <c r="N746">
        <v>5</v>
      </c>
      <c r="O746">
        <v>2701.89</v>
      </c>
      <c r="P746" s="3">
        <v>0.1</v>
      </c>
      <c r="Q746">
        <v>12158.5</v>
      </c>
      <c r="R746">
        <v>10260.07</v>
      </c>
      <c r="S746">
        <v>1898.43</v>
      </c>
      <c r="T746" t="s">
        <v>41</v>
      </c>
      <c r="U746" t="s">
        <v>77</v>
      </c>
      <c r="V746" s="3">
        <f t="shared" si="99"/>
        <v>0.1</v>
      </c>
      <c r="W746">
        <f t="shared" si="100"/>
        <v>12158.504999999999</v>
      </c>
      <c r="X746">
        <f t="shared" si="101"/>
        <v>1898.4349999999995</v>
      </c>
      <c r="Y746" s="4">
        <f t="shared" si="102"/>
        <v>0.15614049589155901</v>
      </c>
      <c r="Z746">
        <f t="shared" si="103"/>
        <v>3</v>
      </c>
      <c r="AA746">
        <f t="shared" si="104"/>
        <v>8</v>
      </c>
      <c r="AB746">
        <f t="shared" si="105"/>
        <v>2025</v>
      </c>
      <c r="AC746" t="str">
        <f t="shared" si="106"/>
        <v>Unique</v>
      </c>
      <c r="AD746" t="str">
        <f t="shared" si="107"/>
        <v>Warning</v>
      </c>
    </row>
    <row r="747" spans="1:30" x14ac:dyDescent="0.3">
      <c r="A747" t="s">
        <v>2323</v>
      </c>
      <c r="B747" s="2">
        <v>45589</v>
      </c>
      <c r="C747" s="2">
        <v>45593</v>
      </c>
      <c r="D747" t="s">
        <v>2324</v>
      </c>
      <c r="E747" t="s">
        <v>45</v>
      </c>
      <c r="F747" t="s">
        <v>46</v>
      </c>
      <c r="G747" t="s">
        <v>47</v>
      </c>
      <c r="H747" t="s">
        <v>175</v>
      </c>
      <c r="I747" t="s">
        <v>176</v>
      </c>
      <c r="J747" t="s">
        <v>83</v>
      </c>
      <c r="K747" t="s">
        <v>89</v>
      </c>
      <c r="L747" t="s">
        <v>2325</v>
      </c>
      <c r="M747" t="s">
        <v>68</v>
      </c>
      <c r="N747">
        <v>3</v>
      </c>
      <c r="O747">
        <v>723.59</v>
      </c>
      <c r="P747" s="3">
        <v>0.2</v>
      </c>
      <c r="Q747">
        <v>1736.62</v>
      </c>
      <c r="R747">
        <v>1059.52</v>
      </c>
      <c r="S747">
        <v>677.1</v>
      </c>
      <c r="T747" t="s">
        <v>41</v>
      </c>
      <c r="U747" t="s">
        <v>42</v>
      </c>
      <c r="V747" s="3">
        <f t="shared" si="99"/>
        <v>0.2</v>
      </c>
      <c r="W747">
        <f t="shared" si="100"/>
        <v>1736.616</v>
      </c>
      <c r="X747">
        <f t="shared" si="101"/>
        <v>677.096</v>
      </c>
      <c r="Y747" s="4">
        <f t="shared" si="102"/>
        <v>0.38989390861307277</v>
      </c>
      <c r="Z747">
        <f t="shared" si="103"/>
        <v>4</v>
      </c>
      <c r="AA747">
        <f t="shared" si="104"/>
        <v>10</v>
      </c>
      <c r="AB747">
        <f t="shared" si="105"/>
        <v>2024</v>
      </c>
      <c r="AC747" t="str">
        <f t="shared" si="106"/>
        <v>Unique</v>
      </c>
      <c r="AD747" t="str">
        <f t="shared" si="107"/>
        <v>Clean</v>
      </c>
    </row>
    <row r="748" spans="1:30" x14ac:dyDescent="0.3">
      <c r="A748" t="s">
        <v>2326</v>
      </c>
      <c r="B748" s="2">
        <v>45661</v>
      </c>
      <c r="C748" s="2">
        <v>45667</v>
      </c>
      <c r="D748" t="s">
        <v>2035</v>
      </c>
      <c r="E748" t="s">
        <v>137</v>
      </c>
      <c r="F748" t="s">
        <v>104</v>
      </c>
      <c r="G748" t="s">
        <v>47</v>
      </c>
      <c r="H748" t="s">
        <v>108</v>
      </c>
      <c r="I748" t="s">
        <v>109</v>
      </c>
      <c r="J748" t="s">
        <v>37</v>
      </c>
      <c r="K748" t="s">
        <v>38</v>
      </c>
      <c r="L748" t="s">
        <v>2327</v>
      </c>
      <c r="M748" t="s">
        <v>68</v>
      </c>
      <c r="N748">
        <v>4</v>
      </c>
      <c r="O748">
        <v>2583.19</v>
      </c>
      <c r="P748" s="3">
        <v>0.2</v>
      </c>
      <c r="Q748">
        <v>8266.2099999999991</v>
      </c>
      <c r="R748">
        <v>6236.32</v>
      </c>
      <c r="S748">
        <v>2029.89</v>
      </c>
      <c r="T748" t="s">
        <v>41</v>
      </c>
      <c r="U748" t="s">
        <v>42</v>
      </c>
      <c r="V748" s="3">
        <f t="shared" si="99"/>
        <v>0.2</v>
      </c>
      <c r="W748">
        <f t="shared" si="100"/>
        <v>8266.2080000000005</v>
      </c>
      <c r="X748">
        <f t="shared" si="101"/>
        <v>2029.8880000000008</v>
      </c>
      <c r="Y748" s="4">
        <f t="shared" si="102"/>
        <v>0.24556459261610653</v>
      </c>
      <c r="Z748">
        <f t="shared" si="103"/>
        <v>6</v>
      </c>
      <c r="AA748">
        <f t="shared" si="104"/>
        <v>1</v>
      </c>
      <c r="AB748">
        <f t="shared" si="105"/>
        <v>2025</v>
      </c>
      <c r="AC748" t="str">
        <f t="shared" si="106"/>
        <v>Unique</v>
      </c>
      <c r="AD748" t="str">
        <f t="shared" si="107"/>
        <v>Clean</v>
      </c>
    </row>
    <row r="749" spans="1:30" x14ac:dyDescent="0.3">
      <c r="A749" t="s">
        <v>2328</v>
      </c>
      <c r="B749" s="2">
        <v>45413</v>
      </c>
      <c r="C749" s="2">
        <v>45419</v>
      </c>
      <c r="D749" t="s">
        <v>2329</v>
      </c>
      <c r="E749" t="s">
        <v>56</v>
      </c>
      <c r="F749" t="s">
        <v>104</v>
      </c>
      <c r="G749" t="s">
        <v>47</v>
      </c>
      <c r="H749" t="s">
        <v>48</v>
      </c>
      <c r="I749" t="s">
        <v>49</v>
      </c>
      <c r="J749" t="s">
        <v>37</v>
      </c>
      <c r="K749" t="s">
        <v>38</v>
      </c>
      <c r="L749" t="s">
        <v>2330</v>
      </c>
      <c r="M749" t="s">
        <v>53</v>
      </c>
      <c r="N749">
        <v>8</v>
      </c>
      <c r="O749">
        <v>1473.83</v>
      </c>
      <c r="P749" s="3">
        <v>0.15</v>
      </c>
      <c r="Q749">
        <v>10022.040000000001</v>
      </c>
      <c r="R749">
        <v>5576.98</v>
      </c>
      <c r="S749">
        <v>4445.0600000000004</v>
      </c>
      <c r="T749" t="s">
        <v>41</v>
      </c>
      <c r="U749" t="s">
        <v>42</v>
      </c>
      <c r="V749" s="3">
        <f t="shared" si="99"/>
        <v>0.15</v>
      </c>
      <c r="W749">
        <f t="shared" si="100"/>
        <v>10022.044</v>
      </c>
      <c r="X749">
        <f t="shared" si="101"/>
        <v>4445.0640000000003</v>
      </c>
      <c r="Y749" s="4">
        <f t="shared" si="102"/>
        <v>0.44352868536597928</v>
      </c>
      <c r="Z749">
        <f t="shared" si="103"/>
        <v>6</v>
      </c>
      <c r="AA749">
        <f t="shared" si="104"/>
        <v>5</v>
      </c>
      <c r="AB749">
        <f t="shared" si="105"/>
        <v>2024</v>
      </c>
      <c r="AC749" t="str">
        <f t="shared" si="106"/>
        <v>Unique</v>
      </c>
      <c r="AD749" t="str">
        <f t="shared" si="107"/>
        <v>Clean</v>
      </c>
    </row>
    <row r="750" spans="1:30" x14ac:dyDescent="0.3">
      <c r="A750" t="s">
        <v>2331</v>
      </c>
      <c r="B750" s="2">
        <v>45442</v>
      </c>
      <c r="C750" s="2">
        <v>45442</v>
      </c>
      <c r="D750" t="s">
        <v>2332</v>
      </c>
      <c r="E750" t="s">
        <v>171</v>
      </c>
      <c r="F750" t="s">
        <v>104</v>
      </c>
      <c r="G750" t="s">
        <v>34</v>
      </c>
      <c r="H750" t="s">
        <v>246</v>
      </c>
      <c r="I750" t="s">
        <v>247</v>
      </c>
      <c r="J750" t="s">
        <v>83</v>
      </c>
      <c r="K750" t="s">
        <v>180</v>
      </c>
      <c r="L750" t="s">
        <v>2333</v>
      </c>
      <c r="M750" t="s">
        <v>40</v>
      </c>
      <c r="N750">
        <v>1</v>
      </c>
      <c r="O750">
        <v>3848.04</v>
      </c>
      <c r="P750" s="3">
        <v>0.25</v>
      </c>
      <c r="Q750">
        <v>2886.03</v>
      </c>
      <c r="R750">
        <v>2064.83</v>
      </c>
      <c r="S750">
        <v>821.2</v>
      </c>
      <c r="T750" t="s">
        <v>41</v>
      </c>
      <c r="U750" t="s">
        <v>42</v>
      </c>
      <c r="V750" s="3">
        <f t="shared" si="99"/>
        <v>0.25</v>
      </c>
      <c r="W750">
        <f t="shared" si="100"/>
        <v>2886.0299999999997</v>
      </c>
      <c r="X750">
        <f t="shared" si="101"/>
        <v>821.19999999999982</v>
      </c>
      <c r="Y750" s="4">
        <f t="shared" si="102"/>
        <v>0.28454312671732446</v>
      </c>
      <c r="Z750">
        <f t="shared" si="103"/>
        <v>0</v>
      </c>
      <c r="AA750">
        <f t="shared" si="104"/>
        <v>5</v>
      </c>
      <c r="AB750">
        <f t="shared" si="105"/>
        <v>2024</v>
      </c>
      <c r="AC750" t="str">
        <f t="shared" si="106"/>
        <v>Unique</v>
      </c>
      <c r="AD750" t="str">
        <f t="shared" si="107"/>
        <v>Clean</v>
      </c>
    </row>
    <row r="751" spans="1:30" x14ac:dyDescent="0.3">
      <c r="A751" t="s">
        <v>2334</v>
      </c>
      <c r="B751" s="2">
        <v>45372</v>
      </c>
      <c r="C751" s="2">
        <v>45376</v>
      </c>
      <c r="D751" t="s">
        <v>2335</v>
      </c>
      <c r="E751" t="s">
        <v>98</v>
      </c>
      <c r="F751" t="s">
        <v>104</v>
      </c>
      <c r="G751" t="s">
        <v>47</v>
      </c>
      <c r="H751" t="s">
        <v>175</v>
      </c>
      <c r="I751" t="s">
        <v>176</v>
      </c>
      <c r="J751" t="s">
        <v>83</v>
      </c>
      <c r="K751" t="s">
        <v>284</v>
      </c>
      <c r="L751" t="s">
        <v>2336</v>
      </c>
      <c r="M751" t="s">
        <v>68</v>
      </c>
      <c r="N751">
        <v>1</v>
      </c>
      <c r="O751">
        <v>1716.7</v>
      </c>
      <c r="P751" s="3">
        <v>0.15</v>
      </c>
      <c r="Q751">
        <v>1459.19</v>
      </c>
      <c r="R751">
        <v>1055.79</v>
      </c>
      <c r="S751">
        <v>403.4</v>
      </c>
      <c r="T751" t="s">
        <v>41</v>
      </c>
      <c r="U751" t="s">
        <v>42</v>
      </c>
      <c r="V751" s="3">
        <f t="shared" si="99"/>
        <v>0.15</v>
      </c>
      <c r="W751">
        <f t="shared" si="100"/>
        <v>1459.1949999999999</v>
      </c>
      <c r="X751">
        <f t="shared" si="101"/>
        <v>403.40499999999997</v>
      </c>
      <c r="Y751" s="4">
        <f t="shared" si="102"/>
        <v>0.27645722470266137</v>
      </c>
      <c r="Z751">
        <f t="shared" si="103"/>
        <v>4</v>
      </c>
      <c r="AA751">
        <f t="shared" si="104"/>
        <v>3</v>
      </c>
      <c r="AB751">
        <f t="shared" si="105"/>
        <v>2024</v>
      </c>
      <c r="AC751" t="str">
        <f t="shared" si="106"/>
        <v>Unique</v>
      </c>
      <c r="AD751" t="str">
        <f t="shared" si="107"/>
        <v>Clean</v>
      </c>
    </row>
    <row r="752" spans="1:30" x14ac:dyDescent="0.3">
      <c r="A752" t="s">
        <v>2337</v>
      </c>
      <c r="B752" s="2">
        <v>45810</v>
      </c>
      <c r="C752" s="2">
        <v>45810</v>
      </c>
      <c r="D752" t="s">
        <v>2338</v>
      </c>
      <c r="E752" t="s">
        <v>137</v>
      </c>
      <c r="F752" t="s">
        <v>104</v>
      </c>
      <c r="G752" t="s">
        <v>63</v>
      </c>
      <c r="H752" t="s">
        <v>64</v>
      </c>
      <c r="I752" t="s">
        <v>65</v>
      </c>
      <c r="J752" t="s">
        <v>83</v>
      </c>
      <c r="K752" t="s">
        <v>84</v>
      </c>
      <c r="L752" t="s">
        <v>2339</v>
      </c>
      <c r="M752" t="s">
        <v>59</v>
      </c>
      <c r="N752">
        <v>8</v>
      </c>
      <c r="O752">
        <v>3925.93</v>
      </c>
      <c r="P752" s="3">
        <v>0.15</v>
      </c>
      <c r="Q752">
        <v>26696.32</v>
      </c>
      <c r="R752">
        <v>22724.52</v>
      </c>
      <c r="S752">
        <v>3971.8</v>
      </c>
      <c r="T752" t="s">
        <v>41</v>
      </c>
      <c r="U752" t="s">
        <v>42</v>
      </c>
      <c r="V752" s="3">
        <f t="shared" si="99"/>
        <v>0.15</v>
      </c>
      <c r="W752">
        <f t="shared" si="100"/>
        <v>26696.323999999997</v>
      </c>
      <c r="X752">
        <f t="shared" si="101"/>
        <v>3971.8039999999964</v>
      </c>
      <c r="Y752" s="4">
        <f t="shared" si="102"/>
        <v>0.14877718745097629</v>
      </c>
      <c r="Z752">
        <f t="shared" si="103"/>
        <v>0</v>
      </c>
      <c r="AA752">
        <f t="shared" si="104"/>
        <v>6</v>
      </c>
      <c r="AB752">
        <f t="shared" si="105"/>
        <v>2025</v>
      </c>
      <c r="AC752" t="str">
        <f t="shared" si="106"/>
        <v>Unique</v>
      </c>
      <c r="AD752" t="str">
        <f t="shared" si="107"/>
        <v>Clean</v>
      </c>
    </row>
    <row r="753" spans="1:30" x14ac:dyDescent="0.3">
      <c r="A753" t="s">
        <v>2340</v>
      </c>
      <c r="B753" s="2">
        <v>45856</v>
      </c>
      <c r="C753" s="2">
        <v>45857</v>
      </c>
      <c r="D753" t="s">
        <v>2341</v>
      </c>
      <c r="E753" t="s">
        <v>123</v>
      </c>
      <c r="F753" t="s">
        <v>104</v>
      </c>
      <c r="G753" t="s">
        <v>214</v>
      </c>
      <c r="H753" t="s">
        <v>145</v>
      </c>
      <c r="I753" t="s">
        <v>146</v>
      </c>
      <c r="J753" t="s">
        <v>83</v>
      </c>
      <c r="K753" t="s">
        <v>284</v>
      </c>
      <c r="L753" t="s">
        <v>2342</v>
      </c>
      <c r="M753" t="s">
        <v>214</v>
      </c>
      <c r="N753">
        <v>3</v>
      </c>
      <c r="O753">
        <v>2963.25</v>
      </c>
      <c r="P753" s="3">
        <v>0.05</v>
      </c>
      <c r="Q753">
        <v>8445.26</v>
      </c>
      <c r="R753">
        <v>6937.6</v>
      </c>
      <c r="S753">
        <v>1507.66</v>
      </c>
      <c r="T753" t="s">
        <v>41</v>
      </c>
      <c r="U753" t="s">
        <v>42</v>
      </c>
      <c r="V753" s="3">
        <f t="shared" si="99"/>
        <v>0.05</v>
      </c>
      <c r="W753">
        <f t="shared" si="100"/>
        <v>8445.2624999999989</v>
      </c>
      <c r="X753">
        <f t="shared" si="101"/>
        <v>1507.6624999999985</v>
      </c>
      <c r="Y753" s="4">
        <f t="shared" si="102"/>
        <v>0.17852168597482893</v>
      </c>
      <c r="Z753">
        <f t="shared" si="103"/>
        <v>1</v>
      </c>
      <c r="AA753">
        <f t="shared" si="104"/>
        <v>7</v>
      </c>
      <c r="AB753">
        <f t="shared" si="105"/>
        <v>2025</v>
      </c>
      <c r="AC753" t="str">
        <f t="shared" si="106"/>
        <v>Unique</v>
      </c>
      <c r="AD753" t="str">
        <f t="shared" si="107"/>
        <v>Warning</v>
      </c>
    </row>
    <row r="754" spans="1:30" x14ac:dyDescent="0.3">
      <c r="A754" t="s">
        <v>2343</v>
      </c>
      <c r="B754" s="2">
        <v>45375</v>
      </c>
      <c r="C754" s="2">
        <v>45378</v>
      </c>
      <c r="D754" t="s">
        <v>2344</v>
      </c>
      <c r="E754" t="s">
        <v>98</v>
      </c>
      <c r="F754" t="s">
        <v>99</v>
      </c>
      <c r="G754" t="s">
        <v>72</v>
      </c>
      <c r="H754" t="s">
        <v>189</v>
      </c>
      <c r="I754" t="s">
        <v>190</v>
      </c>
      <c r="J754" t="s">
        <v>37</v>
      </c>
      <c r="K754" t="s">
        <v>133</v>
      </c>
      <c r="L754" t="s">
        <v>2345</v>
      </c>
      <c r="M754" t="s">
        <v>59</v>
      </c>
      <c r="N754">
        <v>5</v>
      </c>
      <c r="O754">
        <v>2465.2199999999998</v>
      </c>
      <c r="P754" s="3">
        <v>0.05</v>
      </c>
      <c r="Q754">
        <v>11709.79</v>
      </c>
      <c r="R754">
        <v>8372.2900000000009</v>
      </c>
      <c r="S754">
        <v>3337.5</v>
      </c>
      <c r="T754" t="s">
        <v>41</v>
      </c>
      <c r="U754" t="s">
        <v>42</v>
      </c>
      <c r="V754" s="3">
        <f t="shared" si="99"/>
        <v>0.05</v>
      </c>
      <c r="W754">
        <f t="shared" si="100"/>
        <v>11709.794999999998</v>
      </c>
      <c r="X754">
        <f t="shared" si="101"/>
        <v>3337.5049999999974</v>
      </c>
      <c r="Y754" s="4">
        <f t="shared" si="102"/>
        <v>0.28501822619439521</v>
      </c>
      <c r="Z754">
        <f t="shared" si="103"/>
        <v>3</v>
      </c>
      <c r="AA754">
        <f t="shared" si="104"/>
        <v>3</v>
      </c>
      <c r="AB754">
        <f t="shared" si="105"/>
        <v>2024</v>
      </c>
      <c r="AC754" t="str">
        <f t="shared" si="106"/>
        <v>Unique</v>
      </c>
      <c r="AD754" t="str">
        <f t="shared" si="107"/>
        <v>Clean</v>
      </c>
    </row>
    <row r="755" spans="1:30" x14ac:dyDescent="0.3">
      <c r="A755" t="s">
        <v>2346</v>
      </c>
      <c r="B755" s="2">
        <v>45515</v>
      </c>
      <c r="C755" s="2">
        <v>45514</v>
      </c>
      <c r="D755" t="s">
        <v>2347</v>
      </c>
      <c r="E755" t="s">
        <v>98</v>
      </c>
      <c r="F755" t="s">
        <v>99</v>
      </c>
      <c r="G755" t="s">
        <v>34</v>
      </c>
      <c r="H755" t="s">
        <v>360</v>
      </c>
      <c r="I755" t="s">
        <v>361</v>
      </c>
      <c r="J755" t="s">
        <v>50</v>
      </c>
      <c r="K755" t="s">
        <v>66</v>
      </c>
      <c r="L755" t="s">
        <v>2348</v>
      </c>
      <c r="M755" t="s">
        <v>40</v>
      </c>
      <c r="N755">
        <v>3</v>
      </c>
      <c r="O755">
        <v>1017.22</v>
      </c>
      <c r="P755" s="3">
        <v>0.15</v>
      </c>
      <c r="Q755">
        <v>2593.91</v>
      </c>
      <c r="R755">
        <v>1848.48</v>
      </c>
      <c r="S755">
        <v>745.43</v>
      </c>
      <c r="T755" t="s">
        <v>164</v>
      </c>
      <c r="U755" t="s">
        <v>112</v>
      </c>
      <c r="V755" s="3">
        <f t="shared" si="99"/>
        <v>0.15</v>
      </c>
      <c r="W755">
        <f t="shared" si="100"/>
        <v>2593.9109999999996</v>
      </c>
      <c r="X755">
        <f t="shared" si="101"/>
        <v>745.43099999999959</v>
      </c>
      <c r="Y755" s="4">
        <f t="shared" si="102"/>
        <v>0.28737724617382776</v>
      </c>
      <c r="Z755">
        <f t="shared" si="103"/>
        <v>-1</v>
      </c>
      <c r="AA755">
        <f t="shared" si="104"/>
        <v>8</v>
      </c>
      <c r="AB755">
        <f t="shared" si="105"/>
        <v>2024</v>
      </c>
      <c r="AC755" t="str">
        <f t="shared" si="106"/>
        <v>Unique</v>
      </c>
      <c r="AD755" t="str">
        <f t="shared" si="107"/>
        <v>Invalid</v>
      </c>
    </row>
    <row r="756" spans="1:30" x14ac:dyDescent="0.3">
      <c r="A756" t="s">
        <v>2349</v>
      </c>
      <c r="B756" s="2">
        <v>45812</v>
      </c>
      <c r="C756" s="2">
        <v>45812</v>
      </c>
      <c r="D756" t="s">
        <v>2350</v>
      </c>
      <c r="E756" t="s">
        <v>88</v>
      </c>
      <c r="F756" t="s">
        <v>99</v>
      </c>
      <c r="G756" t="s">
        <v>63</v>
      </c>
      <c r="H756" t="s">
        <v>194</v>
      </c>
      <c r="I756" t="s">
        <v>195</v>
      </c>
      <c r="J756" t="s">
        <v>37</v>
      </c>
      <c r="K756" t="s">
        <v>133</v>
      </c>
      <c r="L756" t="s">
        <v>2351</v>
      </c>
      <c r="M756" t="s">
        <v>68</v>
      </c>
      <c r="N756">
        <v>4</v>
      </c>
      <c r="O756">
        <v>891.34</v>
      </c>
      <c r="P756" s="3">
        <v>0.25</v>
      </c>
      <c r="Q756">
        <v>2674.02</v>
      </c>
      <c r="R756">
        <v>2207.5700000000002</v>
      </c>
      <c r="S756">
        <v>466.45</v>
      </c>
      <c r="T756" t="s">
        <v>41</v>
      </c>
      <c r="U756" t="s">
        <v>42</v>
      </c>
      <c r="V756" s="3">
        <f t="shared" si="99"/>
        <v>0.25</v>
      </c>
      <c r="W756">
        <f t="shared" si="100"/>
        <v>2674.02</v>
      </c>
      <c r="X756">
        <f t="shared" si="101"/>
        <v>466.44999999999982</v>
      </c>
      <c r="Y756" s="4">
        <f t="shared" si="102"/>
        <v>0.17443773793763689</v>
      </c>
      <c r="Z756">
        <f t="shared" si="103"/>
        <v>0</v>
      </c>
      <c r="AA756">
        <f t="shared" si="104"/>
        <v>6</v>
      </c>
      <c r="AB756">
        <f t="shared" si="105"/>
        <v>2025</v>
      </c>
      <c r="AC756" t="str">
        <f t="shared" si="106"/>
        <v>Unique</v>
      </c>
      <c r="AD756" t="str">
        <f t="shared" si="107"/>
        <v>Clean</v>
      </c>
    </row>
    <row r="757" spans="1:30" x14ac:dyDescent="0.3">
      <c r="A757" t="s">
        <v>2352</v>
      </c>
      <c r="B757" s="2">
        <v>45858</v>
      </c>
      <c r="C757" s="2">
        <v>45862</v>
      </c>
      <c r="D757" t="s">
        <v>2353</v>
      </c>
      <c r="E757" t="s">
        <v>123</v>
      </c>
      <c r="F757" t="s">
        <v>104</v>
      </c>
      <c r="G757" t="s">
        <v>72</v>
      </c>
      <c r="H757" t="s">
        <v>81</v>
      </c>
      <c r="I757" t="s">
        <v>82</v>
      </c>
      <c r="J757" t="s">
        <v>37</v>
      </c>
      <c r="K757" t="s">
        <v>133</v>
      </c>
      <c r="L757" t="s">
        <v>2354</v>
      </c>
      <c r="M757" t="s">
        <v>40</v>
      </c>
      <c r="N757">
        <v>5</v>
      </c>
      <c r="O757">
        <v>2481.7399999999998</v>
      </c>
      <c r="P757" s="3">
        <v>0.2</v>
      </c>
      <c r="Q757">
        <v>9926.9599999999991</v>
      </c>
      <c r="R757">
        <v>7994.98</v>
      </c>
      <c r="S757">
        <v>1931.98</v>
      </c>
      <c r="T757" t="s">
        <v>41</v>
      </c>
      <c r="U757" t="s">
        <v>42</v>
      </c>
      <c r="V757" s="3">
        <f t="shared" si="99"/>
        <v>0.2</v>
      </c>
      <c r="W757">
        <f t="shared" si="100"/>
        <v>9926.9599999999991</v>
      </c>
      <c r="X757">
        <f t="shared" si="101"/>
        <v>1931.9799999999996</v>
      </c>
      <c r="Y757" s="4">
        <f t="shared" si="102"/>
        <v>0.19461950083409219</v>
      </c>
      <c r="Z757">
        <f t="shared" si="103"/>
        <v>4</v>
      </c>
      <c r="AA757">
        <f t="shared" si="104"/>
        <v>7</v>
      </c>
      <c r="AB757">
        <f t="shared" si="105"/>
        <v>2025</v>
      </c>
      <c r="AC757" t="str">
        <f t="shared" si="106"/>
        <v>Unique</v>
      </c>
      <c r="AD757" t="str">
        <f t="shared" si="107"/>
        <v>Clean</v>
      </c>
    </row>
    <row r="758" spans="1:30" x14ac:dyDescent="0.3">
      <c r="A758" t="s">
        <v>2355</v>
      </c>
      <c r="B758" s="2">
        <v>45592</v>
      </c>
      <c r="C758" s="2">
        <v>45597</v>
      </c>
      <c r="D758" t="s">
        <v>2356</v>
      </c>
      <c r="E758" t="s">
        <v>150</v>
      </c>
      <c r="F758" t="s">
        <v>33</v>
      </c>
      <c r="G758" t="s">
        <v>34</v>
      </c>
      <c r="H758" t="s">
        <v>35</v>
      </c>
      <c r="I758" t="s">
        <v>36</v>
      </c>
      <c r="J758" t="s">
        <v>83</v>
      </c>
      <c r="K758" t="s">
        <v>84</v>
      </c>
      <c r="L758" t="s">
        <v>2357</v>
      </c>
      <c r="M758" t="s">
        <v>53</v>
      </c>
      <c r="N758">
        <v>7</v>
      </c>
      <c r="O758">
        <v>2177.1</v>
      </c>
      <c r="P758" s="3">
        <v>0.2</v>
      </c>
      <c r="Q758">
        <v>12191.76</v>
      </c>
      <c r="R758">
        <v>10457.49</v>
      </c>
      <c r="S758">
        <v>1734.27</v>
      </c>
      <c r="T758" t="s">
        <v>41</v>
      </c>
      <c r="U758" t="s">
        <v>112</v>
      </c>
      <c r="V758" s="3">
        <f t="shared" si="99"/>
        <v>0.2</v>
      </c>
      <c r="W758">
        <f t="shared" si="100"/>
        <v>12191.76</v>
      </c>
      <c r="X758">
        <f t="shared" si="101"/>
        <v>1734.2700000000004</v>
      </c>
      <c r="Y758" s="4">
        <f t="shared" si="102"/>
        <v>0.14224935530226976</v>
      </c>
      <c r="Z758">
        <f t="shared" si="103"/>
        <v>5</v>
      </c>
      <c r="AA758">
        <f t="shared" si="104"/>
        <v>10</v>
      </c>
      <c r="AB758">
        <f t="shared" si="105"/>
        <v>2024</v>
      </c>
      <c r="AC758" t="str">
        <f t="shared" si="106"/>
        <v>Unique</v>
      </c>
      <c r="AD758" t="str">
        <f t="shared" si="107"/>
        <v>Clean</v>
      </c>
    </row>
    <row r="759" spans="1:30" x14ac:dyDescent="0.3">
      <c r="A759" t="s">
        <v>2358</v>
      </c>
      <c r="B759" s="2">
        <v>45870</v>
      </c>
      <c r="C759" s="2">
        <v>45872</v>
      </c>
      <c r="D759" t="s">
        <v>2359</v>
      </c>
      <c r="E759" t="s">
        <v>98</v>
      </c>
      <c r="F759" t="s">
        <v>46</v>
      </c>
      <c r="G759" t="s">
        <v>63</v>
      </c>
      <c r="H759" t="s">
        <v>194</v>
      </c>
      <c r="I759" t="s">
        <v>195</v>
      </c>
      <c r="J759" t="s">
        <v>50</v>
      </c>
      <c r="K759" t="s">
        <v>167</v>
      </c>
      <c r="L759" t="s">
        <v>2360</v>
      </c>
      <c r="M759" t="s">
        <v>68</v>
      </c>
      <c r="N759">
        <v>3</v>
      </c>
      <c r="O759">
        <v>1904.78</v>
      </c>
      <c r="P759" s="3">
        <v>0.25</v>
      </c>
      <c r="Q759">
        <v>4285.76</v>
      </c>
      <c r="R759">
        <v>2386.33</v>
      </c>
      <c r="S759">
        <v>1899.43</v>
      </c>
      <c r="T759" t="s">
        <v>164</v>
      </c>
      <c r="U759" t="s">
        <v>77</v>
      </c>
      <c r="V759" s="3">
        <f t="shared" si="99"/>
        <v>0.25</v>
      </c>
      <c r="W759">
        <f t="shared" si="100"/>
        <v>4285.7550000000001</v>
      </c>
      <c r="X759">
        <f t="shared" si="101"/>
        <v>1899.4250000000002</v>
      </c>
      <c r="Y759" s="4">
        <f t="shared" si="102"/>
        <v>0.44319495631458172</v>
      </c>
      <c r="Z759">
        <f t="shared" si="103"/>
        <v>2</v>
      </c>
      <c r="AA759">
        <f t="shared" si="104"/>
        <v>8</v>
      </c>
      <c r="AB759">
        <f t="shared" si="105"/>
        <v>2025</v>
      </c>
      <c r="AC759" t="str">
        <f t="shared" si="106"/>
        <v>Unique</v>
      </c>
      <c r="AD759" t="str">
        <f t="shared" si="107"/>
        <v>Warning</v>
      </c>
    </row>
    <row r="760" spans="1:30" x14ac:dyDescent="0.3">
      <c r="A760" t="s">
        <v>2361</v>
      </c>
      <c r="B760" s="2">
        <v>45414</v>
      </c>
      <c r="C760" s="2">
        <v>45422</v>
      </c>
      <c r="D760" t="s">
        <v>2362</v>
      </c>
      <c r="E760" t="s">
        <v>137</v>
      </c>
      <c r="F760" t="s">
        <v>46</v>
      </c>
      <c r="G760" t="s">
        <v>63</v>
      </c>
      <c r="H760" t="s">
        <v>184</v>
      </c>
      <c r="I760" t="s">
        <v>185</v>
      </c>
      <c r="J760" t="s">
        <v>50</v>
      </c>
      <c r="K760" t="s">
        <v>75</v>
      </c>
      <c r="L760" t="s">
        <v>2363</v>
      </c>
      <c r="M760" t="s">
        <v>68</v>
      </c>
      <c r="N760">
        <v>1</v>
      </c>
      <c r="O760">
        <v>4166.91</v>
      </c>
      <c r="P760" s="3">
        <v>0</v>
      </c>
      <c r="Q760">
        <v>4166.91</v>
      </c>
      <c r="R760">
        <v>3412.63</v>
      </c>
      <c r="S760">
        <v>754.28</v>
      </c>
      <c r="T760" t="s">
        <v>41</v>
      </c>
      <c r="U760" t="s">
        <v>42</v>
      </c>
      <c r="V760" s="3">
        <f t="shared" si="99"/>
        <v>0</v>
      </c>
      <c r="W760">
        <f t="shared" si="100"/>
        <v>4166.91</v>
      </c>
      <c r="X760">
        <f t="shared" si="101"/>
        <v>754.27999999999975</v>
      </c>
      <c r="Y760" s="4">
        <f t="shared" si="102"/>
        <v>0.18101662862888801</v>
      </c>
      <c r="Z760">
        <f t="shared" si="103"/>
        <v>8</v>
      </c>
      <c r="AA760">
        <f t="shared" si="104"/>
        <v>5</v>
      </c>
      <c r="AB760">
        <f t="shared" si="105"/>
        <v>2024</v>
      </c>
      <c r="AC760" t="str">
        <f t="shared" si="106"/>
        <v>Unique</v>
      </c>
      <c r="AD760" t="str">
        <f t="shared" si="107"/>
        <v>Clean</v>
      </c>
    </row>
    <row r="761" spans="1:30" x14ac:dyDescent="0.3">
      <c r="A761" t="s">
        <v>2364</v>
      </c>
      <c r="B761" s="2">
        <v>45492</v>
      </c>
      <c r="C761" s="2">
        <v>45499</v>
      </c>
      <c r="D761" t="s">
        <v>2365</v>
      </c>
      <c r="E761" t="s">
        <v>62</v>
      </c>
      <c r="F761" t="s">
        <v>104</v>
      </c>
      <c r="G761" t="s">
        <v>63</v>
      </c>
      <c r="H761" t="s">
        <v>184</v>
      </c>
      <c r="I761" t="s">
        <v>185</v>
      </c>
      <c r="J761" t="s">
        <v>50</v>
      </c>
      <c r="K761" t="s">
        <v>51</v>
      </c>
      <c r="L761" t="s">
        <v>2366</v>
      </c>
      <c r="M761" t="s">
        <v>40</v>
      </c>
      <c r="N761">
        <v>5</v>
      </c>
      <c r="O761">
        <v>3986.01</v>
      </c>
      <c r="P761" s="3">
        <v>0.25</v>
      </c>
      <c r="Q761">
        <v>14947.54</v>
      </c>
      <c r="R761">
        <v>9438.4599999999991</v>
      </c>
      <c r="S761">
        <v>5509.08</v>
      </c>
      <c r="T761" t="s">
        <v>41</v>
      </c>
      <c r="U761" t="s">
        <v>42</v>
      </c>
      <c r="V761" s="3">
        <f t="shared" si="99"/>
        <v>0.25</v>
      </c>
      <c r="W761">
        <f t="shared" si="100"/>
        <v>14947.537500000002</v>
      </c>
      <c r="X761">
        <f t="shared" si="101"/>
        <v>5509.0775000000031</v>
      </c>
      <c r="Y761" s="4">
        <f t="shared" si="102"/>
        <v>0.36856087499362367</v>
      </c>
      <c r="Z761">
        <f t="shared" si="103"/>
        <v>7</v>
      </c>
      <c r="AA761">
        <f t="shared" si="104"/>
        <v>7</v>
      </c>
      <c r="AB761">
        <f t="shared" si="105"/>
        <v>2024</v>
      </c>
      <c r="AC761" t="str">
        <f t="shared" si="106"/>
        <v>Unique</v>
      </c>
      <c r="AD761" t="str">
        <f t="shared" si="107"/>
        <v>Clean</v>
      </c>
    </row>
    <row r="762" spans="1:30" x14ac:dyDescent="0.3">
      <c r="A762" t="s">
        <v>2367</v>
      </c>
      <c r="B762" s="2">
        <v>45532</v>
      </c>
      <c r="C762" s="2">
        <v>45537</v>
      </c>
      <c r="D762" t="s">
        <v>2368</v>
      </c>
      <c r="E762" t="s">
        <v>98</v>
      </c>
      <c r="F762" t="s">
        <v>104</v>
      </c>
      <c r="G762" t="s">
        <v>47</v>
      </c>
      <c r="H762" t="s">
        <v>175</v>
      </c>
      <c r="I762" t="s">
        <v>176</v>
      </c>
      <c r="J762" t="s">
        <v>37</v>
      </c>
      <c r="K762" t="s">
        <v>57</v>
      </c>
      <c r="L762" t="s">
        <v>2369</v>
      </c>
      <c r="M762" t="s">
        <v>40</v>
      </c>
      <c r="N762">
        <v>4</v>
      </c>
      <c r="O762">
        <v>3365.53</v>
      </c>
      <c r="P762" s="3">
        <v>0</v>
      </c>
      <c r="Q762">
        <v>13462.12</v>
      </c>
      <c r="R762">
        <v>7600.63</v>
      </c>
      <c r="S762">
        <v>5861.49</v>
      </c>
      <c r="T762" t="s">
        <v>120</v>
      </c>
      <c r="U762" t="s">
        <v>112</v>
      </c>
      <c r="V762" s="3">
        <f t="shared" si="99"/>
        <v>0</v>
      </c>
      <c r="W762">
        <f t="shared" si="100"/>
        <v>13462.12</v>
      </c>
      <c r="X762">
        <f t="shared" si="101"/>
        <v>5861.4900000000007</v>
      </c>
      <c r="Y762" s="4">
        <f t="shared" si="102"/>
        <v>0.43540616188237813</v>
      </c>
      <c r="Z762">
        <f t="shared" si="103"/>
        <v>5</v>
      </c>
      <c r="AA762">
        <f t="shared" si="104"/>
        <v>8</v>
      </c>
      <c r="AB762">
        <f t="shared" si="105"/>
        <v>2024</v>
      </c>
      <c r="AC762" t="str">
        <f t="shared" si="106"/>
        <v>Unique</v>
      </c>
      <c r="AD762" t="str">
        <f t="shared" si="107"/>
        <v>Clean</v>
      </c>
    </row>
    <row r="763" spans="1:30" x14ac:dyDescent="0.3">
      <c r="A763" t="s">
        <v>2370</v>
      </c>
      <c r="B763" s="2">
        <v>45896</v>
      </c>
      <c r="C763" s="2">
        <v>45900</v>
      </c>
      <c r="D763" t="s">
        <v>2371</v>
      </c>
      <c r="E763" t="s">
        <v>56</v>
      </c>
      <c r="F763" t="s">
        <v>33</v>
      </c>
      <c r="G763" t="s">
        <v>63</v>
      </c>
      <c r="H763" t="s">
        <v>184</v>
      </c>
      <c r="I763" t="s">
        <v>185</v>
      </c>
      <c r="J763" t="s">
        <v>83</v>
      </c>
      <c r="K763" t="s">
        <v>284</v>
      </c>
      <c r="L763" t="s">
        <v>2372</v>
      </c>
      <c r="M763" t="s">
        <v>59</v>
      </c>
      <c r="N763">
        <v>3</v>
      </c>
      <c r="O763">
        <v>2489.12</v>
      </c>
      <c r="P763" s="3">
        <v>0</v>
      </c>
      <c r="Q763">
        <v>7467.36</v>
      </c>
      <c r="R763">
        <v>5010.6099999999997</v>
      </c>
      <c r="S763">
        <v>2456.75</v>
      </c>
      <c r="T763" t="s">
        <v>41</v>
      </c>
      <c r="U763" t="s">
        <v>42</v>
      </c>
      <c r="V763" s="3">
        <f t="shared" si="99"/>
        <v>0</v>
      </c>
      <c r="W763">
        <f t="shared" si="100"/>
        <v>7467.36</v>
      </c>
      <c r="X763">
        <f t="shared" si="101"/>
        <v>2456.75</v>
      </c>
      <c r="Y763" s="4">
        <f t="shared" si="102"/>
        <v>0.32899846799940008</v>
      </c>
      <c r="Z763">
        <f t="shared" si="103"/>
        <v>4</v>
      </c>
      <c r="AA763">
        <f t="shared" si="104"/>
        <v>8</v>
      </c>
      <c r="AB763">
        <f t="shared" si="105"/>
        <v>2025</v>
      </c>
      <c r="AC763" t="str">
        <f t="shared" si="106"/>
        <v>Unique</v>
      </c>
      <c r="AD763" t="str">
        <f t="shared" si="107"/>
        <v>Clean</v>
      </c>
    </row>
    <row r="764" spans="1:30" x14ac:dyDescent="0.3">
      <c r="A764" t="s">
        <v>2373</v>
      </c>
      <c r="B764" s="2">
        <v>45292</v>
      </c>
      <c r="C764" s="2">
        <v>45296</v>
      </c>
      <c r="D764" t="s">
        <v>2374</v>
      </c>
      <c r="E764" t="s">
        <v>171</v>
      </c>
      <c r="F764" t="s">
        <v>99</v>
      </c>
      <c r="G764" t="s">
        <v>72</v>
      </c>
      <c r="H764" t="s">
        <v>81</v>
      </c>
      <c r="I764" t="s">
        <v>82</v>
      </c>
      <c r="J764" t="s">
        <v>83</v>
      </c>
      <c r="K764" t="s">
        <v>284</v>
      </c>
      <c r="L764" t="s">
        <v>2375</v>
      </c>
      <c r="M764" t="s">
        <v>40</v>
      </c>
      <c r="N764">
        <v>2</v>
      </c>
      <c r="O764">
        <v>3694.12</v>
      </c>
      <c r="P764" s="3">
        <v>0.2</v>
      </c>
      <c r="Q764">
        <v>5910.59</v>
      </c>
      <c r="R764">
        <v>4775.4399999999996</v>
      </c>
      <c r="S764">
        <v>1135.1500000000001</v>
      </c>
      <c r="T764" t="s">
        <v>111</v>
      </c>
      <c r="U764" t="s">
        <v>112</v>
      </c>
      <c r="V764" s="3">
        <f t="shared" si="99"/>
        <v>0.2</v>
      </c>
      <c r="W764">
        <f t="shared" si="100"/>
        <v>5910.5920000000006</v>
      </c>
      <c r="X764">
        <f t="shared" si="101"/>
        <v>1135.152000000001</v>
      </c>
      <c r="Y764" s="4">
        <f t="shared" si="102"/>
        <v>0.19205385856442145</v>
      </c>
      <c r="Z764">
        <f t="shared" si="103"/>
        <v>4</v>
      </c>
      <c r="AA764">
        <f t="shared" si="104"/>
        <v>1</v>
      </c>
      <c r="AB764">
        <f t="shared" si="105"/>
        <v>2024</v>
      </c>
      <c r="AC764" t="str">
        <f t="shared" si="106"/>
        <v>Unique</v>
      </c>
      <c r="AD764" t="str">
        <f t="shared" si="107"/>
        <v>Clean</v>
      </c>
    </row>
    <row r="765" spans="1:30" x14ac:dyDescent="0.3">
      <c r="A765" t="s">
        <v>2376</v>
      </c>
      <c r="B765" s="2">
        <v>45892</v>
      </c>
      <c r="C765" s="2">
        <v>45894</v>
      </c>
      <c r="D765" t="s">
        <v>2377</v>
      </c>
      <c r="E765" t="s">
        <v>171</v>
      </c>
      <c r="F765" t="s">
        <v>33</v>
      </c>
      <c r="G765" t="s">
        <v>34</v>
      </c>
      <c r="H765" t="s">
        <v>35</v>
      </c>
      <c r="I765" t="s">
        <v>36</v>
      </c>
      <c r="J765" t="s">
        <v>50</v>
      </c>
      <c r="K765" t="s">
        <v>66</v>
      </c>
      <c r="L765" t="s">
        <v>2378</v>
      </c>
      <c r="M765" t="s">
        <v>53</v>
      </c>
      <c r="N765">
        <v>6</v>
      </c>
      <c r="O765">
        <v>2742.48</v>
      </c>
      <c r="P765" s="3">
        <v>0</v>
      </c>
      <c r="Q765">
        <v>16454.88</v>
      </c>
      <c r="R765">
        <v>12081.54</v>
      </c>
      <c r="S765">
        <v>4373.34</v>
      </c>
      <c r="T765" t="s">
        <v>41</v>
      </c>
      <c r="U765" t="s">
        <v>42</v>
      </c>
      <c r="V765" s="3">
        <f t="shared" si="99"/>
        <v>0</v>
      </c>
      <c r="W765">
        <f t="shared" si="100"/>
        <v>16454.88</v>
      </c>
      <c r="X765">
        <f t="shared" si="101"/>
        <v>4373.34</v>
      </c>
      <c r="Y765" s="4">
        <f t="shared" si="102"/>
        <v>0.26577769026574488</v>
      </c>
      <c r="Z765">
        <f t="shared" si="103"/>
        <v>2</v>
      </c>
      <c r="AA765">
        <f t="shared" si="104"/>
        <v>8</v>
      </c>
      <c r="AB765">
        <f t="shared" si="105"/>
        <v>2025</v>
      </c>
      <c r="AC765" t="str">
        <f t="shared" si="106"/>
        <v>Unique</v>
      </c>
      <c r="AD765" t="str">
        <f t="shared" si="107"/>
        <v>Clean</v>
      </c>
    </row>
    <row r="766" spans="1:30" x14ac:dyDescent="0.3">
      <c r="A766" t="s">
        <v>2379</v>
      </c>
      <c r="B766" s="2">
        <v>45760</v>
      </c>
      <c r="C766" s="2">
        <v>45760</v>
      </c>
      <c r="D766" t="s">
        <v>896</v>
      </c>
      <c r="E766" t="s">
        <v>123</v>
      </c>
      <c r="F766" t="s">
        <v>99</v>
      </c>
      <c r="G766" t="s">
        <v>63</v>
      </c>
      <c r="H766" t="s">
        <v>194</v>
      </c>
      <c r="I766" t="s">
        <v>195</v>
      </c>
      <c r="J766" t="s">
        <v>50</v>
      </c>
      <c r="K766" t="s">
        <v>167</v>
      </c>
      <c r="L766" t="s">
        <v>2380</v>
      </c>
      <c r="M766" t="s">
        <v>59</v>
      </c>
      <c r="N766">
        <v>6</v>
      </c>
      <c r="O766">
        <v>4414</v>
      </c>
      <c r="P766" s="3">
        <v>0.05</v>
      </c>
      <c r="Q766">
        <v>25159.8</v>
      </c>
      <c r="R766">
        <v>21606.83</v>
      </c>
      <c r="S766">
        <v>3552.97</v>
      </c>
      <c r="T766" t="s">
        <v>41</v>
      </c>
      <c r="U766" t="s">
        <v>42</v>
      </c>
      <c r="V766" s="3">
        <f t="shared" si="99"/>
        <v>0.05</v>
      </c>
      <c r="W766">
        <f t="shared" si="100"/>
        <v>25159.8</v>
      </c>
      <c r="X766">
        <f t="shared" si="101"/>
        <v>3552.9699999999975</v>
      </c>
      <c r="Y766" s="4">
        <f t="shared" si="102"/>
        <v>0.14121614639226057</v>
      </c>
      <c r="Z766">
        <f t="shared" si="103"/>
        <v>0</v>
      </c>
      <c r="AA766">
        <f t="shared" si="104"/>
        <v>4</v>
      </c>
      <c r="AB766">
        <f t="shared" si="105"/>
        <v>2025</v>
      </c>
      <c r="AC766" t="str">
        <f t="shared" si="106"/>
        <v>Unique</v>
      </c>
      <c r="AD766" t="str">
        <f t="shared" si="107"/>
        <v>Clean</v>
      </c>
    </row>
    <row r="767" spans="1:30" x14ac:dyDescent="0.3">
      <c r="A767" t="s">
        <v>2381</v>
      </c>
      <c r="B767" s="2">
        <v>45837</v>
      </c>
      <c r="C767" s="2">
        <v>45841</v>
      </c>
      <c r="D767" t="s">
        <v>2382</v>
      </c>
      <c r="E767" t="s">
        <v>80</v>
      </c>
      <c r="F767" t="s">
        <v>99</v>
      </c>
      <c r="G767" t="s">
        <v>47</v>
      </c>
      <c r="H767" t="s">
        <v>238</v>
      </c>
      <c r="I767" t="s">
        <v>239</v>
      </c>
      <c r="J767" t="s">
        <v>37</v>
      </c>
      <c r="K767" t="s">
        <v>100</v>
      </c>
      <c r="L767" t="s">
        <v>2383</v>
      </c>
      <c r="M767" t="s">
        <v>59</v>
      </c>
      <c r="N767">
        <v>3</v>
      </c>
      <c r="O767">
        <v>608.14</v>
      </c>
      <c r="P767" s="3">
        <v>0</v>
      </c>
      <c r="Q767">
        <v>1824.42</v>
      </c>
      <c r="R767">
        <v>1214.8699999999999</v>
      </c>
      <c r="S767">
        <v>609.54999999999995</v>
      </c>
      <c r="T767" t="s">
        <v>41</v>
      </c>
      <c r="U767" t="s">
        <v>42</v>
      </c>
      <c r="V767" s="3">
        <f t="shared" si="99"/>
        <v>0</v>
      </c>
      <c r="W767">
        <f t="shared" si="100"/>
        <v>1824.42</v>
      </c>
      <c r="X767">
        <f t="shared" si="101"/>
        <v>609.55000000000018</v>
      </c>
      <c r="Y767" s="4">
        <f t="shared" si="102"/>
        <v>0.33410618169061956</v>
      </c>
      <c r="Z767">
        <f t="shared" si="103"/>
        <v>4</v>
      </c>
      <c r="AA767">
        <f t="shared" si="104"/>
        <v>6</v>
      </c>
      <c r="AB767">
        <f t="shared" si="105"/>
        <v>2025</v>
      </c>
      <c r="AC767" t="str">
        <f t="shared" si="106"/>
        <v>Unique</v>
      </c>
      <c r="AD767" t="str">
        <f t="shared" si="107"/>
        <v>Clean</v>
      </c>
    </row>
    <row r="768" spans="1:30" x14ac:dyDescent="0.3">
      <c r="A768" t="s">
        <v>2384</v>
      </c>
      <c r="B768" s="2">
        <v>45552</v>
      </c>
      <c r="C768" s="2">
        <v>45559</v>
      </c>
      <c r="D768" t="s">
        <v>2385</v>
      </c>
      <c r="E768" t="s">
        <v>45</v>
      </c>
      <c r="F768" t="s">
        <v>99</v>
      </c>
      <c r="G768" t="s">
        <v>72</v>
      </c>
      <c r="H768" t="s">
        <v>189</v>
      </c>
      <c r="I768" t="s">
        <v>190</v>
      </c>
      <c r="J768" t="s">
        <v>37</v>
      </c>
      <c r="K768" t="s">
        <v>57</v>
      </c>
      <c r="L768" t="s">
        <v>2386</v>
      </c>
      <c r="M768" t="s">
        <v>40</v>
      </c>
      <c r="N768">
        <v>9</v>
      </c>
      <c r="O768">
        <v>2307.96</v>
      </c>
      <c r="P768" s="3">
        <v>0.2</v>
      </c>
      <c r="Q768">
        <v>16617.310000000001</v>
      </c>
      <c r="R768">
        <v>9195.73</v>
      </c>
      <c r="S768">
        <v>7421.58</v>
      </c>
      <c r="T768" t="s">
        <v>41</v>
      </c>
      <c r="U768" t="s">
        <v>77</v>
      </c>
      <c r="V768" s="3">
        <f t="shared" si="99"/>
        <v>0.2</v>
      </c>
      <c r="W768">
        <f t="shared" si="100"/>
        <v>16617.312000000002</v>
      </c>
      <c r="X768">
        <f t="shared" si="101"/>
        <v>7421.5820000000022</v>
      </c>
      <c r="Y768" s="4">
        <f t="shared" si="102"/>
        <v>0.44661747940942564</v>
      </c>
      <c r="Z768">
        <f t="shared" si="103"/>
        <v>7</v>
      </c>
      <c r="AA768">
        <f t="shared" si="104"/>
        <v>9</v>
      </c>
      <c r="AB768">
        <f t="shared" si="105"/>
        <v>2024</v>
      </c>
      <c r="AC768" t="str">
        <f t="shared" si="106"/>
        <v>Unique</v>
      </c>
      <c r="AD768" t="str">
        <f t="shared" si="107"/>
        <v>Warning</v>
      </c>
    </row>
    <row r="769" spans="1:30" x14ac:dyDescent="0.3">
      <c r="A769" t="s">
        <v>2387</v>
      </c>
      <c r="B769" s="2">
        <v>45415</v>
      </c>
      <c r="C769" s="2">
        <v>45418</v>
      </c>
      <c r="D769" t="s">
        <v>2388</v>
      </c>
      <c r="E769" t="s">
        <v>71</v>
      </c>
      <c r="F769" t="s">
        <v>104</v>
      </c>
      <c r="G769" t="s">
        <v>34</v>
      </c>
      <c r="H769" t="s">
        <v>145</v>
      </c>
      <c r="I769" t="s">
        <v>146</v>
      </c>
      <c r="J769" t="s">
        <v>37</v>
      </c>
      <c r="K769" t="s">
        <v>162</v>
      </c>
      <c r="L769" t="s">
        <v>2389</v>
      </c>
      <c r="M769" t="s">
        <v>68</v>
      </c>
      <c r="N769">
        <v>1</v>
      </c>
      <c r="O769">
        <v>1244.58</v>
      </c>
      <c r="P769" s="3">
        <v>0.25</v>
      </c>
      <c r="Q769">
        <v>933.43</v>
      </c>
      <c r="R769">
        <v>583.09</v>
      </c>
      <c r="S769">
        <v>350.34</v>
      </c>
      <c r="T769" t="s">
        <v>41</v>
      </c>
      <c r="U769" t="s">
        <v>42</v>
      </c>
      <c r="V769" s="3">
        <f t="shared" si="99"/>
        <v>0.25</v>
      </c>
      <c r="W769">
        <f t="shared" si="100"/>
        <v>933.43499999999995</v>
      </c>
      <c r="X769">
        <f t="shared" si="101"/>
        <v>350.34499999999991</v>
      </c>
      <c r="Y769" s="4">
        <f t="shared" si="102"/>
        <v>0.3753287588316272</v>
      </c>
      <c r="Z769">
        <f t="shared" si="103"/>
        <v>3</v>
      </c>
      <c r="AA769">
        <f t="shared" si="104"/>
        <v>5</v>
      </c>
      <c r="AB769">
        <f t="shared" si="105"/>
        <v>2024</v>
      </c>
      <c r="AC769" t="str">
        <f t="shared" si="106"/>
        <v>Unique</v>
      </c>
      <c r="AD769" t="str">
        <f t="shared" si="107"/>
        <v>Clean</v>
      </c>
    </row>
    <row r="770" spans="1:30" x14ac:dyDescent="0.3">
      <c r="A770" t="s">
        <v>2390</v>
      </c>
      <c r="B770" s="2">
        <v>45749</v>
      </c>
      <c r="C770" s="2">
        <v>45751</v>
      </c>
      <c r="D770" t="s">
        <v>2391</v>
      </c>
      <c r="E770" t="s">
        <v>141</v>
      </c>
      <c r="F770" t="s">
        <v>104</v>
      </c>
      <c r="G770" t="s">
        <v>47</v>
      </c>
      <c r="H770" t="s">
        <v>238</v>
      </c>
      <c r="I770" t="s">
        <v>239</v>
      </c>
      <c r="J770" t="s">
        <v>37</v>
      </c>
      <c r="K770" t="s">
        <v>38</v>
      </c>
      <c r="L770" t="s">
        <v>2392</v>
      </c>
      <c r="M770" t="s">
        <v>53</v>
      </c>
      <c r="N770">
        <v>5</v>
      </c>
      <c r="O770">
        <v>3234.24</v>
      </c>
      <c r="P770" s="3">
        <v>0.1</v>
      </c>
      <c r="Q770">
        <v>14554.08</v>
      </c>
      <c r="R770">
        <v>11166.84</v>
      </c>
      <c r="S770">
        <v>3387.24</v>
      </c>
      <c r="T770" t="s">
        <v>41</v>
      </c>
      <c r="U770" t="s">
        <v>42</v>
      </c>
      <c r="V770" s="3">
        <f t="shared" ref="V770:V833" si="108">IF(P770="",0,IF(ISNUMBER(P770),ABS(P770),IF(RIGHT(P770,1)="%",VALUE(LEFT(P770,LEN(P770)-1))/100,P770)))</f>
        <v>0.1</v>
      </c>
      <c r="W770">
        <f t="shared" ref="W770:W833" si="109">N770*O770*(1-V770)</f>
        <v>14554.08</v>
      </c>
      <c r="X770">
        <f t="shared" ref="X770:X833" si="110">W770-R770</f>
        <v>3387.24</v>
      </c>
      <c r="Y770" s="4">
        <f t="shared" ref="Y770:Y833" si="111">IF(W770=0,0,X770/W770)</f>
        <v>0.23273473830018798</v>
      </c>
      <c r="Z770">
        <f t="shared" ref="Z770:Z833" si="112">C770-B770</f>
        <v>2</v>
      </c>
      <c r="AA770">
        <f t="shared" ref="AA770:AA833" si="113">MONTH(B770)</f>
        <v>4</v>
      </c>
      <c r="AB770">
        <f t="shared" ref="AB770:AB833" si="114">YEAR(B770)</f>
        <v>2025</v>
      </c>
      <c r="AC770" t="str">
        <f t="shared" ref="AC770:AC833" si="115">IF(COUNTIF($A$2:$A$913,A770)&gt;1,"Conflict - Review","Unique")</f>
        <v>Unique</v>
      </c>
      <c r="AD770" t="str">
        <f t="shared" ref="AD770:AD833" si="116">IF(OR(C770&lt;B770,AND(ISNUMBER(P770),P770&lt;0),V770&gt;0.65,AC770="Conflict - Review"),"Invalid",IF(OR(G770="Unknown",M770="Unknown",T770="Failed",U770="Cancelled"),"Warning","Clean"))</f>
        <v>Clean</v>
      </c>
    </row>
    <row r="771" spans="1:30" x14ac:dyDescent="0.3">
      <c r="A771" t="s">
        <v>2393</v>
      </c>
      <c r="B771" s="2">
        <v>45423</v>
      </c>
      <c r="C771" s="2">
        <v>45425</v>
      </c>
      <c r="D771" t="s">
        <v>2394</v>
      </c>
      <c r="E771" t="s">
        <v>123</v>
      </c>
      <c r="F771" t="s">
        <v>104</v>
      </c>
      <c r="G771" t="s">
        <v>72</v>
      </c>
      <c r="H771" t="s">
        <v>199</v>
      </c>
      <c r="I771" t="s">
        <v>200</v>
      </c>
      <c r="J771" t="s">
        <v>50</v>
      </c>
      <c r="K771" t="s">
        <v>167</v>
      </c>
      <c r="L771" t="s">
        <v>2395</v>
      </c>
      <c r="M771" t="s">
        <v>53</v>
      </c>
      <c r="N771">
        <v>3</v>
      </c>
      <c r="O771">
        <v>3612.75</v>
      </c>
      <c r="P771" s="3">
        <v>0.25</v>
      </c>
      <c r="Q771">
        <v>8128.69</v>
      </c>
      <c r="R771">
        <v>5071.66</v>
      </c>
      <c r="S771">
        <v>3057.03</v>
      </c>
      <c r="T771" t="s">
        <v>41</v>
      </c>
      <c r="U771" t="s">
        <v>42</v>
      </c>
      <c r="V771" s="3">
        <f t="shared" si="108"/>
        <v>0.25</v>
      </c>
      <c r="W771">
        <f t="shared" si="109"/>
        <v>8128.6875</v>
      </c>
      <c r="X771">
        <f t="shared" si="110"/>
        <v>3057.0275000000001</v>
      </c>
      <c r="Y771" s="4">
        <f t="shared" si="111"/>
        <v>0.3760788565189645</v>
      </c>
      <c r="Z771">
        <f t="shared" si="112"/>
        <v>2</v>
      </c>
      <c r="AA771">
        <f t="shared" si="113"/>
        <v>5</v>
      </c>
      <c r="AB771">
        <f t="shared" si="114"/>
        <v>2024</v>
      </c>
      <c r="AC771" t="str">
        <f t="shared" si="115"/>
        <v>Unique</v>
      </c>
      <c r="AD771" t="str">
        <f t="shared" si="116"/>
        <v>Clean</v>
      </c>
    </row>
    <row r="772" spans="1:30" x14ac:dyDescent="0.3">
      <c r="A772" t="s">
        <v>2396</v>
      </c>
      <c r="B772" s="2">
        <v>45337</v>
      </c>
      <c r="C772" s="2">
        <v>45339</v>
      </c>
      <c r="D772" t="s">
        <v>2397</v>
      </c>
      <c r="E772" t="s">
        <v>88</v>
      </c>
      <c r="F772" t="s">
        <v>33</v>
      </c>
      <c r="G772" t="s">
        <v>34</v>
      </c>
      <c r="H772" t="s">
        <v>145</v>
      </c>
      <c r="I772" t="s">
        <v>146</v>
      </c>
      <c r="J772" t="s">
        <v>83</v>
      </c>
      <c r="K772" t="s">
        <v>89</v>
      </c>
      <c r="L772" t="s">
        <v>2398</v>
      </c>
      <c r="M772" t="s">
        <v>59</v>
      </c>
      <c r="N772">
        <v>4</v>
      </c>
      <c r="O772">
        <v>863</v>
      </c>
      <c r="P772" s="3"/>
      <c r="Q772">
        <v>3106.8</v>
      </c>
      <c r="R772">
        <v>2376.62</v>
      </c>
      <c r="S772">
        <v>730.18</v>
      </c>
      <c r="T772" t="s">
        <v>41</v>
      </c>
      <c r="U772" t="s">
        <v>42</v>
      </c>
      <c r="V772" s="3">
        <f t="shared" si="108"/>
        <v>0</v>
      </c>
      <c r="W772">
        <f t="shared" si="109"/>
        <v>3452</v>
      </c>
      <c r="X772">
        <f t="shared" si="110"/>
        <v>1075.3800000000001</v>
      </c>
      <c r="Y772" s="4">
        <f t="shared" si="111"/>
        <v>0.3115237543453071</v>
      </c>
      <c r="Z772">
        <f t="shared" si="112"/>
        <v>2</v>
      </c>
      <c r="AA772">
        <f t="shared" si="113"/>
        <v>2</v>
      </c>
      <c r="AB772">
        <f t="shared" si="114"/>
        <v>2024</v>
      </c>
      <c r="AC772" t="str">
        <f t="shared" si="115"/>
        <v>Unique</v>
      </c>
      <c r="AD772" t="str">
        <f t="shared" si="116"/>
        <v>Clean</v>
      </c>
    </row>
    <row r="773" spans="1:30" x14ac:dyDescent="0.3">
      <c r="A773" t="s">
        <v>2399</v>
      </c>
      <c r="B773" s="2">
        <v>45485</v>
      </c>
      <c r="C773" s="2">
        <v>45487</v>
      </c>
      <c r="D773" t="s">
        <v>478</v>
      </c>
      <c r="E773" t="s">
        <v>71</v>
      </c>
      <c r="F773" t="s">
        <v>33</v>
      </c>
      <c r="G773" t="s">
        <v>34</v>
      </c>
      <c r="H773" t="s">
        <v>246</v>
      </c>
      <c r="I773" t="s">
        <v>247</v>
      </c>
      <c r="J773" t="s">
        <v>83</v>
      </c>
      <c r="K773" t="s">
        <v>284</v>
      </c>
      <c r="L773" t="s">
        <v>2400</v>
      </c>
      <c r="M773" t="s">
        <v>40</v>
      </c>
      <c r="N773">
        <v>4</v>
      </c>
      <c r="O773">
        <v>2131.41</v>
      </c>
      <c r="P773" s="3"/>
      <c r="Q773">
        <v>6394.23</v>
      </c>
      <c r="R773">
        <v>3520.69</v>
      </c>
      <c r="S773">
        <v>2873.54</v>
      </c>
      <c r="T773" t="s">
        <v>41</v>
      </c>
      <c r="U773" t="s">
        <v>42</v>
      </c>
      <c r="V773" s="3">
        <f t="shared" si="108"/>
        <v>0</v>
      </c>
      <c r="W773">
        <f t="shared" si="109"/>
        <v>8525.64</v>
      </c>
      <c r="X773">
        <f t="shared" si="110"/>
        <v>5004.9499999999989</v>
      </c>
      <c r="Y773" s="4">
        <f t="shared" si="111"/>
        <v>0.58704683753946907</v>
      </c>
      <c r="Z773">
        <f t="shared" si="112"/>
        <v>2</v>
      </c>
      <c r="AA773">
        <f t="shared" si="113"/>
        <v>7</v>
      </c>
      <c r="AB773">
        <f t="shared" si="114"/>
        <v>2024</v>
      </c>
      <c r="AC773" t="str">
        <f t="shared" si="115"/>
        <v>Unique</v>
      </c>
      <c r="AD773" t="str">
        <f t="shared" si="116"/>
        <v>Clean</v>
      </c>
    </row>
    <row r="774" spans="1:30" x14ac:dyDescent="0.3">
      <c r="A774" t="s">
        <v>2401</v>
      </c>
      <c r="B774" s="2">
        <v>45853</v>
      </c>
      <c r="C774" s="2">
        <v>45857</v>
      </c>
      <c r="D774" t="s">
        <v>2402</v>
      </c>
      <c r="E774" t="s">
        <v>171</v>
      </c>
      <c r="F774" t="s">
        <v>33</v>
      </c>
      <c r="G774" t="s">
        <v>63</v>
      </c>
      <c r="H774" t="s">
        <v>257</v>
      </c>
      <c r="I774" t="s">
        <v>258</v>
      </c>
      <c r="J774" t="s">
        <v>50</v>
      </c>
      <c r="K774" t="s">
        <v>75</v>
      </c>
      <c r="L774" t="s">
        <v>2403</v>
      </c>
      <c r="M774" t="s">
        <v>53</v>
      </c>
      <c r="N774">
        <v>1</v>
      </c>
      <c r="O774">
        <v>3903.22</v>
      </c>
      <c r="P774" s="3">
        <v>0.05</v>
      </c>
      <c r="Q774">
        <v>3708.06</v>
      </c>
      <c r="R774">
        <v>2760.29</v>
      </c>
      <c r="S774">
        <v>947.77</v>
      </c>
      <c r="T774" t="s">
        <v>120</v>
      </c>
      <c r="U774" t="s">
        <v>77</v>
      </c>
      <c r="V774" s="3">
        <f t="shared" si="108"/>
        <v>0.05</v>
      </c>
      <c r="W774">
        <f t="shared" si="109"/>
        <v>3708.0589999999997</v>
      </c>
      <c r="X774">
        <f t="shared" si="110"/>
        <v>947.76899999999978</v>
      </c>
      <c r="Y774" s="4">
        <f t="shared" si="111"/>
        <v>0.25559706574248142</v>
      </c>
      <c r="Z774">
        <f t="shared" si="112"/>
        <v>4</v>
      </c>
      <c r="AA774">
        <f t="shared" si="113"/>
        <v>7</v>
      </c>
      <c r="AB774">
        <f t="shared" si="114"/>
        <v>2025</v>
      </c>
      <c r="AC774" t="str">
        <f t="shared" si="115"/>
        <v>Unique</v>
      </c>
      <c r="AD774" t="str">
        <f t="shared" si="116"/>
        <v>Warning</v>
      </c>
    </row>
    <row r="775" spans="1:30" x14ac:dyDescent="0.3">
      <c r="A775" t="s">
        <v>2404</v>
      </c>
      <c r="B775" s="2">
        <v>45709</v>
      </c>
      <c r="C775" s="2">
        <v>45709</v>
      </c>
      <c r="D775" t="s">
        <v>2405</v>
      </c>
      <c r="E775" t="s">
        <v>32</v>
      </c>
      <c r="F775" t="s">
        <v>104</v>
      </c>
      <c r="G775" t="s">
        <v>72</v>
      </c>
      <c r="H775" t="s">
        <v>189</v>
      </c>
      <c r="I775" t="s">
        <v>190</v>
      </c>
      <c r="J775" t="s">
        <v>83</v>
      </c>
      <c r="K775" t="s">
        <v>180</v>
      </c>
      <c r="L775" t="s">
        <v>2406</v>
      </c>
      <c r="M775" t="s">
        <v>214</v>
      </c>
      <c r="N775">
        <v>4</v>
      </c>
      <c r="O775">
        <v>2945.07</v>
      </c>
      <c r="P775" s="3">
        <v>0.2</v>
      </c>
      <c r="Q775">
        <v>9424.2199999999993</v>
      </c>
      <c r="R775">
        <v>6178.92</v>
      </c>
      <c r="S775">
        <v>3245.3</v>
      </c>
      <c r="T775" t="s">
        <v>41</v>
      </c>
      <c r="U775" t="s">
        <v>42</v>
      </c>
      <c r="V775" s="3">
        <f t="shared" si="108"/>
        <v>0.2</v>
      </c>
      <c r="W775">
        <f t="shared" si="109"/>
        <v>9424.2240000000002</v>
      </c>
      <c r="X775">
        <f t="shared" si="110"/>
        <v>3245.3040000000001</v>
      </c>
      <c r="Y775" s="4">
        <f t="shared" si="111"/>
        <v>0.3443576892909167</v>
      </c>
      <c r="Z775">
        <f t="shared" si="112"/>
        <v>0</v>
      </c>
      <c r="AA775">
        <f t="shared" si="113"/>
        <v>2</v>
      </c>
      <c r="AB775">
        <f t="shared" si="114"/>
        <v>2025</v>
      </c>
      <c r="AC775" t="str">
        <f t="shared" si="115"/>
        <v>Unique</v>
      </c>
      <c r="AD775" t="str">
        <f t="shared" si="116"/>
        <v>Warning</v>
      </c>
    </row>
    <row r="776" spans="1:30" x14ac:dyDescent="0.3">
      <c r="A776" t="s">
        <v>2407</v>
      </c>
      <c r="B776" s="2">
        <v>45876</v>
      </c>
      <c r="C776" s="2">
        <v>45876</v>
      </c>
      <c r="D776" t="s">
        <v>2408</v>
      </c>
      <c r="E776" t="s">
        <v>274</v>
      </c>
      <c r="F776" t="s">
        <v>33</v>
      </c>
      <c r="G776" t="s">
        <v>72</v>
      </c>
      <c r="H776" t="s">
        <v>35</v>
      </c>
      <c r="I776" t="s">
        <v>118</v>
      </c>
      <c r="J776" t="s">
        <v>83</v>
      </c>
      <c r="K776" t="s">
        <v>284</v>
      </c>
      <c r="L776" t="s">
        <v>2409</v>
      </c>
      <c r="M776" t="s">
        <v>214</v>
      </c>
      <c r="N776">
        <v>9</v>
      </c>
      <c r="O776">
        <v>1076.75</v>
      </c>
      <c r="P776" s="3">
        <v>0.2</v>
      </c>
      <c r="Q776">
        <v>7752.6</v>
      </c>
      <c r="R776">
        <v>4689.3</v>
      </c>
      <c r="S776">
        <v>3063.3</v>
      </c>
      <c r="T776" t="s">
        <v>41</v>
      </c>
      <c r="U776" t="s">
        <v>42</v>
      </c>
      <c r="V776" s="3">
        <f t="shared" si="108"/>
        <v>0.2</v>
      </c>
      <c r="W776">
        <f t="shared" si="109"/>
        <v>7752.6</v>
      </c>
      <c r="X776">
        <f t="shared" si="110"/>
        <v>3063.3</v>
      </c>
      <c r="Y776" s="4">
        <f t="shared" si="111"/>
        <v>0.39513195573098059</v>
      </c>
      <c r="Z776">
        <f t="shared" si="112"/>
        <v>0</v>
      </c>
      <c r="AA776">
        <f t="shared" si="113"/>
        <v>8</v>
      </c>
      <c r="AB776">
        <f t="shared" si="114"/>
        <v>2025</v>
      </c>
      <c r="AC776" t="str">
        <f t="shared" si="115"/>
        <v>Unique</v>
      </c>
      <c r="AD776" t="str">
        <f t="shared" si="116"/>
        <v>Warning</v>
      </c>
    </row>
    <row r="777" spans="1:30" x14ac:dyDescent="0.3">
      <c r="A777" t="s">
        <v>2410</v>
      </c>
      <c r="B777" s="2">
        <v>45396</v>
      </c>
      <c r="C777" s="2">
        <v>45404</v>
      </c>
      <c r="D777" t="s">
        <v>2411</v>
      </c>
      <c r="E777" t="s">
        <v>62</v>
      </c>
      <c r="F777" t="s">
        <v>33</v>
      </c>
      <c r="G777" t="s">
        <v>34</v>
      </c>
      <c r="H777" t="s">
        <v>246</v>
      </c>
      <c r="I777" t="s">
        <v>247</v>
      </c>
      <c r="J777" t="s">
        <v>83</v>
      </c>
      <c r="K777" t="s">
        <v>84</v>
      </c>
      <c r="L777" t="s">
        <v>2412</v>
      </c>
      <c r="M777" t="s">
        <v>68</v>
      </c>
      <c r="N777">
        <v>8</v>
      </c>
      <c r="O777">
        <v>3956.12</v>
      </c>
      <c r="P777" s="3">
        <v>0.25</v>
      </c>
      <c r="Q777">
        <v>23736.720000000001</v>
      </c>
      <c r="R777">
        <v>13890.9</v>
      </c>
      <c r="S777">
        <v>9845.82</v>
      </c>
      <c r="T777" t="s">
        <v>41</v>
      </c>
      <c r="U777" t="s">
        <v>42</v>
      </c>
      <c r="V777" s="3">
        <f t="shared" si="108"/>
        <v>0.25</v>
      </c>
      <c r="W777">
        <f t="shared" si="109"/>
        <v>23736.720000000001</v>
      </c>
      <c r="X777">
        <f t="shared" si="110"/>
        <v>9845.8200000000015</v>
      </c>
      <c r="Y777" s="4">
        <f t="shared" si="111"/>
        <v>0.41479277676106896</v>
      </c>
      <c r="Z777">
        <f t="shared" si="112"/>
        <v>8</v>
      </c>
      <c r="AA777">
        <f t="shared" si="113"/>
        <v>4</v>
      </c>
      <c r="AB777">
        <f t="shared" si="114"/>
        <v>2024</v>
      </c>
      <c r="AC777" t="str">
        <f t="shared" si="115"/>
        <v>Unique</v>
      </c>
      <c r="AD777" t="str">
        <f t="shared" si="116"/>
        <v>Clean</v>
      </c>
    </row>
    <row r="778" spans="1:30" x14ac:dyDescent="0.3">
      <c r="A778" t="s">
        <v>2413</v>
      </c>
      <c r="B778" s="2">
        <v>45816</v>
      </c>
      <c r="C778" s="2">
        <v>45821</v>
      </c>
      <c r="D778" t="s">
        <v>2414</v>
      </c>
      <c r="E778" t="s">
        <v>98</v>
      </c>
      <c r="F778" t="s">
        <v>46</v>
      </c>
      <c r="G778" t="s">
        <v>34</v>
      </c>
      <c r="H778" t="s">
        <v>35</v>
      </c>
      <c r="I778" t="s">
        <v>36</v>
      </c>
      <c r="J778" t="s">
        <v>83</v>
      </c>
      <c r="K778" t="s">
        <v>89</v>
      </c>
      <c r="L778" t="s">
        <v>2415</v>
      </c>
      <c r="M778" t="s">
        <v>40</v>
      </c>
      <c r="N778">
        <v>7</v>
      </c>
      <c r="O778">
        <v>3857.13</v>
      </c>
      <c r="P778" s="3">
        <v>0</v>
      </c>
      <c r="Q778">
        <v>26999.91</v>
      </c>
      <c r="R778">
        <v>17815.98</v>
      </c>
      <c r="S778">
        <v>9183.93</v>
      </c>
      <c r="T778" t="s">
        <v>41</v>
      </c>
      <c r="U778" t="s">
        <v>42</v>
      </c>
      <c r="V778" s="3">
        <f t="shared" si="108"/>
        <v>0</v>
      </c>
      <c r="W778">
        <f t="shared" si="109"/>
        <v>26999.91</v>
      </c>
      <c r="X778">
        <f t="shared" si="110"/>
        <v>9183.93</v>
      </c>
      <c r="Y778" s="4">
        <f t="shared" si="111"/>
        <v>0.34014668937785347</v>
      </c>
      <c r="Z778">
        <f t="shared" si="112"/>
        <v>5</v>
      </c>
      <c r="AA778">
        <f t="shared" si="113"/>
        <v>6</v>
      </c>
      <c r="AB778">
        <f t="shared" si="114"/>
        <v>2025</v>
      </c>
      <c r="AC778" t="str">
        <f t="shared" si="115"/>
        <v>Unique</v>
      </c>
      <c r="AD778" t="str">
        <f t="shared" si="116"/>
        <v>Clean</v>
      </c>
    </row>
    <row r="779" spans="1:30" x14ac:dyDescent="0.3">
      <c r="A779" t="s">
        <v>2416</v>
      </c>
      <c r="B779" s="2">
        <v>45326</v>
      </c>
      <c r="C779" s="2">
        <v>45328</v>
      </c>
      <c r="D779" t="s">
        <v>2417</v>
      </c>
      <c r="E779" t="s">
        <v>274</v>
      </c>
      <c r="F779" t="s">
        <v>46</v>
      </c>
      <c r="G779" t="s">
        <v>72</v>
      </c>
      <c r="H779" t="s">
        <v>81</v>
      </c>
      <c r="I779" t="s">
        <v>82</v>
      </c>
      <c r="J779" t="s">
        <v>83</v>
      </c>
      <c r="K779" t="s">
        <v>84</v>
      </c>
      <c r="L779" t="s">
        <v>2418</v>
      </c>
      <c r="M779" t="s">
        <v>40</v>
      </c>
      <c r="N779">
        <v>4</v>
      </c>
      <c r="O779">
        <v>1489.74</v>
      </c>
      <c r="P779" s="3">
        <v>0.15</v>
      </c>
      <c r="Q779">
        <v>5065.12</v>
      </c>
      <c r="R779">
        <v>3530.12</v>
      </c>
      <c r="S779">
        <v>1535</v>
      </c>
      <c r="T779" t="s">
        <v>164</v>
      </c>
      <c r="U779" t="s">
        <v>77</v>
      </c>
      <c r="V779" s="3">
        <f t="shared" si="108"/>
        <v>0.15</v>
      </c>
      <c r="W779">
        <f t="shared" si="109"/>
        <v>5065.116</v>
      </c>
      <c r="X779">
        <f t="shared" si="110"/>
        <v>1534.9960000000001</v>
      </c>
      <c r="Y779" s="4">
        <f t="shared" si="111"/>
        <v>0.30305248685321323</v>
      </c>
      <c r="Z779">
        <f t="shared" si="112"/>
        <v>2</v>
      </c>
      <c r="AA779">
        <f t="shared" si="113"/>
        <v>2</v>
      </c>
      <c r="AB779">
        <f t="shared" si="114"/>
        <v>2024</v>
      </c>
      <c r="AC779" t="str">
        <f t="shared" si="115"/>
        <v>Unique</v>
      </c>
      <c r="AD779" t="str">
        <f t="shared" si="116"/>
        <v>Warning</v>
      </c>
    </row>
    <row r="780" spans="1:30" x14ac:dyDescent="0.3">
      <c r="A780" t="s">
        <v>2419</v>
      </c>
      <c r="B780" s="2">
        <v>45497</v>
      </c>
      <c r="C780" s="2">
        <v>45497</v>
      </c>
      <c r="D780" t="s">
        <v>2420</v>
      </c>
      <c r="E780" t="s">
        <v>32</v>
      </c>
      <c r="F780" t="s">
        <v>46</v>
      </c>
      <c r="G780" t="s">
        <v>34</v>
      </c>
      <c r="H780" t="s">
        <v>246</v>
      </c>
      <c r="I780" t="s">
        <v>247</v>
      </c>
      <c r="J780" t="s">
        <v>83</v>
      </c>
      <c r="K780" t="s">
        <v>89</v>
      </c>
      <c r="L780" t="s">
        <v>2421</v>
      </c>
      <c r="M780" t="s">
        <v>40</v>
      </c>
      <c r="N780">
        <v>4</v>
      </c>
      <c r="O780">
        <v>1676.88</v>
      </c>
      <c r="P780" s="3">
        <v>0</v>
      </c>
      <c r="Q780">
        <v>6707.52</v>
      </c>
      <c r="R780">
        <v>5672.57</v>
      </c>
      <c r="S780">
        <v>1034.95</v>
      </c>
      <c r="T780" t="s">
        <v>41</v>
      </c>
      <c r="U780" t="s">
        <v>42</v>
      </c>
      <c r="V780" s="3">
        <f t="shared" si="108"/>
        <v>0</v>
      </c>
      <c r="W780">
        <f t="shared" si="109"/>
        <v>6707.52</v>
      </c>
      <c r="X780">
        <f t="shared" si="110"/>
        <v>1034.9500000000007</v>
      </c>
      <c r="Y780" s="4">
        <f t="shared" si="111"/>
        <v>0.15429696817899918</v>
      </c>
      <c r="Z780">
        <f t="shared" si="112"/>
        <v>0</v>
      </c>
      <c r="AA780">
        <f t="shared" si="113"/>
        <v>7</v>
      </c>
      <c r="AB780">
        <f t="shared" si="114"/>
        <v>2024</v>
      </c>
      <c r="AC780" t="str">
        <f t="shared" si="115"/>
        <v>Unique</v>
      </c>
      <c r="AD780" t="str">
        <f t="shared" si="116"/>
        <v>Clean</v>
      </c>
    </row>
    <row r="781" spans="1:30" x14ac:dyDescent="0.3">
      <c r="A781" t="s">
        <v>2422</v>
      </c>
      <c r="B781" s="2">
        <v>45306</v>
      </c>
      <c r="C781" s="2">
        <v>45311</v>
      </c>
      <c r="D781" t="s">
        <v>2423</v>
      </c>
      <c r="E781" t="s">
        <v>123</v>
      </c>
      <c r="F781" t="s">
        <v>46</v>
      </c>
      <c r="G781" t="s">
        <v>63</v>
      </c>
      <c r="H781" t="s">
        <v>93</v>
      </c>
      <c r="I781" t="s">
        <v>94</v>
      </c>
      <c r="J781" t="s">
        <v>50</v>
      </c>
      <c r="K781" t="s">
        <v>75</v>
      </c>
      <c r="L781" t="s">
        <v>2424</v>
      </c>
      <c r="M781" t="s">
        <v>68</v>
      </c>
      <c r="N781">
        <v>4</v>
      </c>
      <c r="O781">
        <v>3153.54</v>
      </c>
      <c r="P781" s="3">
        <v>0.05</v>
      </c>
      <c r="Q781">
        <v>11983.45</v>
      </c>
      <c r="R781">
        <v>8572.9</v>
      </c>
      <c r="S781">
        <v>3410.55</v>
      </c>
      <c r="T781" t="s">
        <v>41</v>
      </c>
      <c r="U781" t="s">
        <v>42</v>
      </c>
      <c r="V781" s="3">
        <f t="shared" si="108"/>
        <v>0.05</v>
      </c>
      <c r="W781">
        <f t="shared" si="109"/>
        <v>11983.451999999999</v>
      </c>
      <c r="X781">
        <f t="shared" si="110"/>
        <v>3410.5519999999997</v>
      </c>
      <c r="Y781" s="4">
        <f t="shared" si="111"/>
        <v>0.2846051371507976</v>
      </c>
      <c r="Z781">
        <f t="shared" si="112"/>
        <v>5</v>
      </c>
      <c r="AA781">
        <f t="shared" si="113"/>
        <v>1</v>
      </c>
      <c r="AB781">
        <f t="shared" si="114"/>
        <v>2024</v>
      </c>
      <c r="AC781" t="str">
        <f t="shared" si="115"/>
        <v>Unique</v>
      </c>
      <c r="AD781" t="str">
        <f t="shared" si="116"/>
        <v>Clean</v>
      </c>
    </row>
    <row r="782" spans="1:30" x14ac:dyDescent="0.3">
      <c r="A782" t="s">
        <v>2425</v>
      </c>
      <c r="B782" s="2">
        <v>45508</v>
      </c>
      <c r="C782" s="2">
        <v>45514</v>
      </c>
      <c r="D782" t="s">
        <v>2426</v>
      </c>
      <c r="E782" t="s">
        <v>171</v>
      </c>
      <c r="F782" t="s">
        <v>46</v>
      </c>
      <c r="G782" t="s">
        <v>72</v>
      </c>
      <c r="H782" t="s">
        <v>35</v>
      </c>
      <c r="I782" t="s">
        <v>118</v>
      </c>
      <c r="J782" t="s">
        <v>50</v>
      </c>
      <c r="K782" t="s">
        <v>75</v>
      </c>
      <c r="L782" t="s">
        <v>2427</v>
      </c>
      <c r="M782" t="s">
        <v>53</v>
      </c>
      <c r="N782">
        <v>4</v>
      </c>
      <c r="O782">
        <v>426.43</v>
      </c>
      <c r="P782" s="3">
        <v>0.2</v>
      </c>
      <c r="Q782">
        <v>1364.58</v>
      </c>
      <c r="R782">
        <v>978.16</v>
      </c>
      <c r="S782">
        <v>386.42</v>
      </c>
      <c r="T782" t="s">
        <v>41</v>
      </c>
      <c r="U782" t="s">
        <v>42</v>
      </c>
      <c r="V782" s="3">
        <f t="shared" si="108"/>
        <v>0.2</v>
      </c>
      <c r="W782">
        <f t="shared" si="109"/>
        <v>1364.576</v>
      </c>
      <c r="X782">
        <f t="shared" si="110"/>
        <v>386.41600000000005</v>
      </c>
      <c r="Y782" s="4">
        <f t="shared" si="111"/>
        <v>0.28317660577351506</v>
      </c>
      <c r="Z782">
        <f t="shared" si="112"/>
        <v>6</v>
      </c>
      <c r="AA782">
        <f t="shared" si="113"/>
        <v>8</v>
      </c>
      <c r="AB782">
        <f t="shared" si="114"/>
        <v>2024</v>
      </c>
      <c r="AC782" t="str">
        <f t="shared" si="115"/>
        <v>Unique</v>
      </c>
      <c r="AD782" t="str">
        <f t="shared" si="116"/>
        <v>Clean</v>
      </c>
    </row>
    <row r="783" spans="1:30" x14ac:dyDescent="0.3">
      <c r="A783" t="s">
        <v>2428</v>
      </c>
      <c r="B783" s="2">
        <v>45324</v>
      </c>
      <c r="C783" s="2">
        <v>45332</v>
      </c>
      <c r="D783" t="s">
        <v>2429</v>
      </c>
      <c r="E783" t="s">
        <v>32</v>
      </c>
      <c r="F783" t="s">
        <v>104</v>
      </c>
      <c r="G783" t="s">
        <v>72</v>
      </c>
      <c r="H783" t="s">
        <v>35</v>
      </c>
      <c r="I783" t="s">
        <v>118</v>
      </c>
      <c r="J783" t="s">
        <v>37</v>
      </c>
      <c r="K783" t="s">
        <v>100</v>
      </c>
      <c r="L783" t="s">
        <v>2430</v>
      </c>
      <c r="M783" t="s">
        <v>59</v>
      </c>
      <c r="N783">
        <v>3</v>
      </c>
      <c r="O783">
        <v>383.4</v>
      </c>
      <c r="P783" s="3">
        <v>0.25</v>
      </c>
      <c r="Q783">
        <v>862.65</v>
      </c>
      <c r="R783">
        <v>603.73</v>
      </c>
      <c r="S783">
        <v>258.92</v>
      </c>
      <c r="T783" t="s">
        <v>120</v>
      </c>
      <c r="U783" t="s">
        <v>112</v>
      </c>
      <c r="V783" s="3">
        <f t="shared" si="108"/>
        <v>0.25</v>
      </c>
      <c r="W783">
        <f t="shared" si="109"/>
        <v>862.64999999999986</v>
      </c>
      <c r="X783">
        <f t="shared" si="110"/>
        <v>258.91999999999985</v>
      </c>
      <c r="Y783" s="4">
        <f t="shared" si="111"/>
        <v>0.30014490233582553</v>
      </c>
      <c r="Z783">
        <f t="shared" si="112"/>
        <v>8</v>
      </c>
      <c r="AA783">
        <f t="shared" si="113"/>
        <v>2</v>
      </c>
      <c r="AB783">
        <f t="shared" si="114"/>
        <v>2024</v>
      </c>
      <c r="AC783" t="str">
        <f t="shared" si="115"/>
        <v>Unique</v>
      </c>
      <c r="AD783" t="str">
        <f t="shared" si="116"/>
        <v>Clean</v>
      </c>
    </row>
    <row r="784" spans="1:30" x14ac:dyDescent="0.3">
      <c r="A784" t="s">
        <v>2431</v>
      </c>
      <c r="B784" s="2">
        <v>45730</v>
      </c>
      <c r="C784" s="2">
        <v>45738</v>
      </c>
      <c r="D784" t="s">
        <v>2432</v>
      </c>
      <c r="E784" t="s">
        <v>45</v>
      </c>
      <c r="F784" t="s">
        <v>99</v>
      </c>
      <c r="G784" t="s">
        <v>47</v>
      </c>
      <c r="H784" t="s">
        <v>108</v>
      </c>
      <c r="I784" t="s">
        <v>109</v>
      </c>
      <c r="J784" t="s">
        <v>83</v>
      </c>
      <c r="K784" t="s">
        <v>89</v>
      </c>
      <c r="L784" t="s">
        <v>2433</v>
      </c>
      <c r="M784" t="s">
        <v>68</v>
      </c>
      <c r="N784">
        <v>2</v>
      </c>
      <c r="O784">
        <v>669.63</v>
      </c>
      <c r="P784" s="3">
        <v>0.15</v>
      </c>
      <c r="Q784">
        <v>1138.3699999999999</v>
      </c>
      <c r="R784">
        <v>797.34</v>
      </c>
      <c r="S784">
        <v>341.03</v>
      </c>
      <c r="T784" t="s">
        <v>41</v>
      </c>
      <c r="U784" t="s">
        <v>42</v>
      </c>
      <c r="V784" s="3">
        <f t="shared" si="108"/>
        <v>0.15</v>
      </c>
      <c r="W784">
        <f t="shared" si="109"/>
        <v>1138.3709999999999</v>
      </c>
      <c r="X784">
        <f t="shared" si="110"/>
        <v>341.03099999999984</v>
      </c>
      <c r="Y784" s="4">
        <f t="shared" si="111"/>
        <v>0.29957808131092578</v>
      </c>
      <c r="Z784">
        <f t="shared" si="112"/>
        <v>8</v>
      </c>
      <c r="AA784">
        <f t="shared" si="113"/>
        <v>3</v>
      </c>
      <c r="AB784">
        <f t="shared" si="114"/>
        <v>2025</v>
      </c>
      <c r="AC784" t="str">
        <f t="shared" si="115"/>
        <v>Unique</v>
      </c>
      <c r="AD784" t="str">
        <f t="shared" si="116"/>
        <v>Clean</v>
      </c>
    </row>
    <row r="785" spans="1:30" x14ac:dyDescent="0.3">
      <c r="A785" t="s">
        <v>2434</v>
      </c>
      <c r="B785" s="2">
        <v>45450</v>
      </c>
      <c r="C785" s="2">
        <v>45450</v>
      </c>
      <c r="D785" t="s">
        <v>2435</v>
      </c>
      <c r="E785" t="s">
        <v>137</v>
      </c>
      <c r="F785" t="s">
        <v>46</v>
      </c>
      <c r="G785" t="s">
        <v>47</v>
      </c>
      <c r="H785" t="s">
        <v>154</v>
      </c>
      <c r="I785" t="s">
        <v>155</v>
      </c>
      <c r="J785" t="s">
        <v>37</v>
      </c>
      <c r="K785" t="s">
        <v>57</v>
      </c>
      <c r="L785" t="s">
        <v>2436</v>
      </c>
      <c r="M785" t="s">
        <v>40</v>
      </c>
      <c r="N785">
        <v>1</v>
      </c>
      <c r="O785">
        <v>2581.9299999999998</v>
      </c>
      <c r="P785" s="3">
        <v>0.05</v>
      </c>
      <c r="Q785">
        <v>2452.83</v>
      </c>
      <c r="R785">
        <v>1906.7</v>
      </c>
      <c r="S785">
        <v>546.13</v>
      </c>
      <c r="T785" t="s">
        <v>41</v>
      </c>
      <c r="U785" t="s">
        <v>42</v>
      </c>
      <c r="V785" s="3">
        <f t="shared" si="108"/>
        <v>0.05</v>
      </c>
      <c r="W785">
        <f t="shared" si="109"/>
        <v>2452.8334999999997</v>
      </c>
      <c r="X785">
        <f t="shared" si="110"/>
        <v>546.13349999999969</v>
      </c>
      <c r="Y785" s="4">
        <f t="shared" si="111"/>
        <v>0.22265412634000625</v>
      </c>
      <c r="Z785">
        <f t="shared" si="112"/>
        <v>0</v>
      </c>
      <c r="AA785">
        <f t="shared" si="113"/>
        <v>6</v>
      </c>
      <c r="AB785">
        <f t="shared" si="114"/>
        <v>2024</v>
      </c>
      <c r="AC785" t="str">
        <f t="shared" si="115"/>
        <v>Unique</v>
      </c>
      <c r="AD785" t="str">
        <f t="shared" si="116"/>
        <v>Clean</v>
      </c>
    </row>
    <row r="786" spans="1:30" x14ac:dyDescent="0.3">
      <c r="A786" t="s">
        <v>2437</v>
      </c>
      <c r="B786" s="2">
        <v>45934</v>
      </c>
      <c r="C786" s="2">
        <v>45935</v>
      </c>
      <c r="D786" t="s">
        <v>2438</v>
      </c>
      <c r="E786" t="s">
        <v>123</v>
      </c>
      <c r="F786" t="s">
        <v>99</v>
      </c>
      <c r="G786" t="s">
        <v>34</v>
      </c>
      <c r="H786" t="s">
        <v>131</v>
      </c>
      <c r="I786" t="s">
        <v>132</v>
      </c>
      <c r="J786" t="s">
        <v>83</v>
      </c>
      <c r="K786" t="s">
        <v>89</v>
      </c>
      <c r="L786" t="s">
        <v>2439</v>
      </c>
      <c r="M786" t="s">
        <v>59</v>
      </c>
      <c r="N786">
        <v>4</v>
      </c>
      <c r="O786">
        <v>418.18</v>
      </c>
      <c r="P786" s="3">
        <v>0.05</v>
      </c>
      <c r="Q786">
        <v>1589.08</v>
      </c>
      <c r="R786">
        <v>1084.6600000000001</v>
      </c>
      <c r="S786">
        <v>504.42</v>
      </c>
      <c r="T786" t="s">
        <v>41</v>
      </c>
      <c r="U786" t="s">
        <v>42</v>
      </c>
      <c r="V786" s="3">
        <f t="shared" si="108"/>
        <v>0.05</v>
      </c>
      <c r="W786">
        <f t="shared" si="109"/>
        <v>1589.0840000000001</v>
      </c>
      <c r="X786">
        <f t="shared" si="110"/>
        <v>504.42399999999998</v>
      </c>
      <c r="Y786" s="4">
        <f t="shared" si="111"/>
        <v>0.31743067075120002</v>
      </c>
      <c r="Z786">
        <f t="shared" si="112"/>
        <v>1</v>
      </c>
      <c r="AA786">
        <f t="shared" si="113"/>
        <v>10</v>
      </c>
      <c r="AB786">
        <f t="shared" si="114"/>
        <v>2025</v>
      </c>
      <c r="AC786" t="str">
        <f t="shared" si="115"/>
        <v>Unique</v>
      </c>
      <c r="AD786" t="str">
        <f t="shared" si="116"/>
        <v>Clean</v>
      </c>
    </row>
    <row r="787" spans="1:30" x14ac:dyDescent="0.3">
      <c r="A787" t="s">
        <v>2440</v>
      </c>
      <c r="B787" s="2">
        <v>45435</v>
      </c>
      <c r="C787" s="2">
        <v>45441</v>
      </c>
      <c r="D787" t="s">
        <v>2441</v>
      </c>
      <c r="E787" t="s">
        <v>171</v>
      </c>
      <c r="F787" t="s">
        <v>46</v>
      </c>
      <c r="G787" t="s">
        <v>34</v>
      </c>
      <c r="H787" t="s">
        <v>246</v>
      </c>
      <c r="I787" t="s">
        <v>247</v>
      </c>
      <c r="J787" t="s">
        <v>37</v>
      </c>
      <c r="K787" t="s">
        <v>133</v>
      </c>
      <c r="L787" t="s">
        <v>2442</v>
      </c>
      <c r="M787" t="s">
        <v>53</v>
      </c>
      <c r="N787">
        <v>2</v>
      </c>
      <c r="O787">
        <v>3012.94</v>
      </c>
      <c r="P787" s="3">
        <v>0.25</v>
      </c>
      <c r="Q787">
        <v>4519.41</v>
      </c>
      <c r="R787">
        <v>3504.16</v>
      </c>
      <c r="S787">
        <v>1275.55</v>
      </c>
      <c r="T787" t="s">
        <v>164</v>
      </c>
      <c r="U787" t="s">
        <v>77</v>
      </c>
      <c r="V787" s="3">
        <f t="shared" si="108"/>
        <v>0.25</v>
      </c>
      <c r="W787">
        <f t="shared" si="109"/>
        <v>4519.41</v>
      </c>
      <c r="X787">
        <f t="shared" si="110"/>
        <v>1015.25</v>
      </c>
      <c r="Y787" s="4">
        <f t="shared" si="111"/>
        <v>0.22464215461752751</v>
      </c>
      <c r="Z787">
        <f t="shared" si="112"/>
        <v>6</v>
      </c>
      <c r="AA787">
        <f t="shared" si="113"/>
        <v>5</v>
      </c>
      <c r="AB787">
        <f t="shared" si="114"/>
        <v>2024</v>
      </c>
      <c r="AC787" t="str">
        <f t="shared" si="115"/>
        <v>Unique</v>
      </c>
      <c r="AD787" t="str">
        <f t="shared" si="116"/>
        <v>Warning</v>
      </c>
    </row>
    <row r="788" spans="1:30" x14ac:dyDescent="0.3">
      <c r="A788" t="s">
        <v>2443</v>
      </c>
      <c r="B788" s="2">
        <v>45844</v>
      </c>
      <c r="C788" s="2">
        <v>45846</v>
      </c>
      <c r="D788" t="s">
        <v>2444</v>
      </c>
      <c r="E788" t="s">
        <v>71</v>
      </c>
      <c r="F788" t="s">
        <v>99</v>
      </c>
      <c r="G788" t="s">
        <v>34</v>
      </c>
      <c r="H788" t="s">
        <v>35</v>
      </c>
      <c r="I788" t="s">
        <v>36</v>
      </c>
      <c r="J788" t="s">
        <v>50</v>
      </c>
      <c r="K788" t="s">
        <v>66</v>
      </c>
      <c r="L788" t="s">
        <v>2445</v>
      </c>
      <c r="M788" t="s">
        <v>214</v>
      </c>
      <c r="N788">
        <v>4</v>
      </c>
      <c r="O788">
        <v>715.45</v>
      </c>
      <c r="P788" s="3">
        <v>0.05</v>
      </c>
      <c r="Q788">
        <v>2718.71</v>
      </c>
      <c r="R788">
        <v>2065.0500000000002</v>
      </c>
      <c r="S788">
        <v>653.66</v>
      </c>
      <c r="T788" t="s">
        <v>111</v>
      </c>
      <c r="U788" t="s">
        <v>112</v>
      </c>
      <c r="V788" s="3">
        <f t="shared" si="108"/>
        <v>0.05</v>
      </c>
      <c r="W788">
        <f t="shared" si="109"/>
        <v>2718.71</v>
      </c>
      <c r="X788">
        <f t="shared" si="110"/>
        <v>653.65999999999985</v>
      </c>
      <c r="Y788" s="4">
        <f t="shared" si="111"/>
        <v>0.24043020403058799</v>
      </c>
      <c r="Z788">
        <f t="shared" si="112"/>
        <v>2</v>
      </c>
      <c r="AA788">
        <f t="shared" si="113"/>
        <v>7</v>
      </c>
      <c r="AB788">
        <f t="shared" si="114"/>
        <v>2025</v>
      </c>
      <c r="AC788" t="str">
        <f t="shared" si="115"/>
        <v>Unique</v>
      </c>
      <c r="AD788" t="str">
        <f t="shared" si="116"/>
        <v>Warning</v>
      </c>
    </row>
    <row r="789" spans="1:30" x14ac:dyDescent="0.3">
      <c r="A789" t="s">
        <v>2446</v>
      </c>
      <c r="B789" s="2">
        <v>45547</v>
      </c>
      <c r="C789" s="2">
        <v>45553</v>
      </c>
      <c r="D789" t="s">
        <v>2447</v>
      </c>
      <c r="E789" t="s">
        <v>71</v>
      </c>
      <c r="F789" t="s">
        <v>104</v>
      </c>
      <c r="G789" t="s">
        <v>47</v>
      </c>
      <c r="H789" t="s">
        <v>154</v>
      </c>
      <c r="I789" t="s">
        <v>155</v>
      </c>
      <c r="J789" t="s">
        <v>37</v>
      </c>
      <c r="K789" t="s">
        <v>38</v>
      </c>
      <c r="L789" t="s">
        <v>2448</v>
      </c>
      <c r="M789" t="s">
        <v>40</v>
      </c>
      <c r="N789">
        <v>2</v>
      </c>
      <c r="O789">
        <v>3718.77</v>
      </c>
      <c r="P789" s="3">
        <v>0.05</v>
      </c>
      <c r="Q789">
        <v>7065.66</v>
      </c>
      <c r="R789">
        <v>4915.2700000000004</v>
      </c>
      <c r="S789">
        <v>2150.39</v>
      </c>
      <c r="T789" t="s">
        <v>41</v>
      </c>
      <c r="U789" t="s">
        <v>42</v>
      </c>
      <c r="V789" s="3">
        <f t="shared" si="108"/>
        <v>0.05</v>
      </c>
      <c r="W789">
        <f t="shared" si="109"/>
        <v>7065.6629999999996</v>
      </c>
      <c r="X789">
        <f t="shared" si="110"/>
        <v>2150.3929999999991</v>
      </c>
      <c r="Y789" s="4">
        <f t="shared" si="111"/>
        <v>0.30434412170521002</v>
      </c>
      <c r="Z789">
        <f t="shared" si="112"/>
        <v>6</v>
      </c>
      <c r="AA789">
        <f t="shared" si="113"/>
        <v>9</v>
      </c>
      <c r="AB789">
        <f t="shared" si="114"/>
        <v>2024</v>
      </c>
      <c r="AC789" t="str">
        <f t="shared" si="115"/>
        <v>Unique</v>
      </c>
      <c r="AD789" t="str">
        <f t="shared" si="116"/>
        <v>Clean</v>
      </c>
    </row>
    <row r="790" spans="1:30" x14ac:dyDescent="0.3">
      <c r="A790" t="s">
        <v>2449</v>
      </c>
      <c r="B790" s="2">
        <v>45505</v>
      </c>
      <c r="C790" s="2">
        <v>45506</v>
      </c>
      <c r="D790" t="s">
        <v>2450</v>
      </c>
      <c r="E790" t="s">
        <v>56</v>
      </c>
      <c r="F790" t="s">
        <v>99</v>
      </c>
      <c r="G790" t="s">
        <v>34</v>
      </c>
      <c r="H790" t="s">
        <v>145</v>
      </c>
      <c r="I790" t="s">
        <v>146</v>
      </c>
      <c r="J790" t="s">
        <v>50</v>
      </c>
      <c r="K790" t="s">
        <v>75</v>
      </c>
      <c r="L790" t="s">
        <v>2451</v>
      </c>
      <c r="M790" t="s">
        <v>68</v>
      </c>
      <c r="N790">
        <v>8</v>
      </c>
      <c r="O790">
        <v>2487.64</v>
      </c>
      <c r="P790" s="3">
        <v>0.1</v>
      </c>
      <c r="Q790">
        <v>17911.009999999998</v>
      </c>
      <c r="R790">
        <v>11546.05</v>
      </c>
      <c r="S790">
        <v>6364.96</v>
      </c>
      <c r="T790" t="s">
        <v>164</v>
      </c>
      <c r="U790" t="s">
        <v>112</v>
      </c>
      <c r="V790" s="3">
        <f t="shared" si="108"/>
        <v>0.1</v>
      </c>
      <c r="W790">
        <f t="shared" si="109"/>
        <v>17911.007999999998</v>
      </c>
      <c r="X790">
        <f t="shared" si="110"/>
        <v>6364.9579999999987</v>
      </c>
      <c r="Y790" s="4">
        <f t="shared" si="111"/>
        <v>0.35536570582738836</v>
      </c>
      <c r="Z790">
        <f t="shared" si="112"/>
        <v>1</v>
      </c>
      <c r="AA790">
        <f t="shared" si="113"/>
        <v>8</v>
      </c>
      <c r="AB790">
        <f t="shared" si="114"/>
        <v>2024</v>
      </c>
      <c r="AC790" t="str">
        <f t="shared" si="115"/>
        <v>Unique</v>
      </c>
      <c r="AD790" t="str">
        <f t="shared" si="116"/>
        <v>Warning</v>
      </c>
    </row>
    <row r="791" spans="1:30" x14ac:dyDescent="0.3">
      <c r="A791" t="s">
        <v>2452</v>
      </c>
      <c r="B791" s="2">
        <v>45723</v>
      </c>
      <c r="C791" s="2">
        <v>45724</v>
      </c>
      <c r="D791" t="s">
        <v>2453</v>
      </c>
      <c r="E791" t="s">
        <v>123</v>
      </c>
      <c r="F791" t="s">
        <v>104</v>
      </c>
      <c r="G791" t="s">
        <v>214</v>
      </c>
      <c r="H791" t="s">
        <v>35</v>
      </c>
      <c r="I791" t="s">
        <v>118</v>
      </c>
      <c r="J791" t="s">
        <v>83</v>
      </c>
      <c r="K791" t="s">
        <v>89</v>
      </c>
      <c r="L791" t="s">
        <v>2454</v>
      </c>
      <c r="M791" t="s">
        <v>53</v>
      </c>
      <c r="N791">
        <v>4</v>
      </c>
      <c r="O791">
        <v>3537.48</v>
      </c>
      <c r="P791" s="3">
        <v>0</v>
      </c>
      <c r="Q791">
        <v>14149.92</v>
      </c>
      <c r="R791">
        <v>9466.51</v>
      </c>
      <c r="S791">
        <v>4683.41</v>
      </c>
      <c r="T791" t="s">
        <v>41</v>
      </c>
      <c r="U791" t="s">
        <v>42</v>
      </c>
      <c r="V791" s="3">
        <f t="shared" si="108"/>
        <v>0</v>
      </c>
      <c r="W791">
        <f t="shared" si="109"/>
        <v>14149.92</v>
      </c>
      <c r="X791">
        <f t="shared" si="110"/>
        <v>4683.41</v>
      </c>
      <c r="Y791" s="4">
        <f t="shared" si="111"/>
        <v>0.33098491016203624</v>
      </c>
      <c r="Z791">
        <f t="shared" si="112"/>
        <v>1</v>
      </c>
      <c r="AA791">
        <f t="shared" si="113"/>
        <v>3</v>
      </c>
      <c r="AB791">
        <f t="shared" si="114"/>
        <v>2025</v>
      </c>
      <c r="AC791" t="str">
        <f t="shared" si="115"/>
        <v>Unique</v>
      </c>
      <c r="AD791" t="str">
        <f t="shared" si="116"/>
        <v>Warning</v>
      </c>
    </row>
    <row r="792" spans="1:30" x14ac:dyDescent="0.3">
      <c r="A792" t="s">
        <v>2455</v>
      </c>
      <c r="B792" s="2">
        <v>45443</v>
      </c>
      <c r="C792" s="2">
        <v>45445</v>
      </c>
      <c r="D792" t="s">
        <v>2456</v>
      </c>
      <c r="E792" t="s">
        <v>127</v>
      </c>
      <c r="F792" t="s">
        <v>99</v>
      </c>
      <c r="G792" t="s">
        <v>63</v>
      </c>
      <c r="H792" t="s">
        <v>93</v>
      </c>
      <c r="I792" t="s">
        <v>94</v>
      </c>
      <c r="J792" t="s">
        <v>37</v>
      </c>
      <c r="K792" t="s">
        <v>57</v>
      </c>
      <c r="L792" t="s">
        <v>2457</v>
      </c>
      <c r="M792" t="s">
        <v>68</v>
      </c>
      <c r="N792">
        <v>8</v>
      </c>
      <c r="O792">
        <v>667.59</v>
      </c>
      <c r="P792" s="3">
        <v>0.2</v>
      </c>
      <c r="Q792">
        <v>4272.58</v>
      </c>
      <c r="R792">
        <v>3328.92</v>
      </c>
      <c r="S792">
        <v>943.66</v>
      </c>
      <c r="T792" t="s">
        <v>41</v>
      </c>
      <c r="U792" t="s">
        <v>42</v>
      </c>
      <c r="V792" s="3">
        <f t="shared" si="108"/>
        <v>0.2</v>
      </c>
      <c r="W792">
        <f t="shared" si="109"/>
        <v>4272.576</v>
      </c>
      <c r="X792">
        <f t="shared" si="110"/>
        <v>943.65599999999995</v>
      </c>
      <c r="Y792" s="4">
        <f t="shared" si="111"/>
        <v>0.22086347908147214</v>
      </c>
      <c r="Z792">
        <f t="shared" si="112"/>
        <v>2</v>
      </c>
      <c r="AA792">
        <f t="shared" si="113"/>
        <v>5</v>
      </c>
      <c r="AB792">
        <f t="shared" si="114"/>
        <v>2024</v>
      </c>
      <c r="AC792" t="str">
        <f t="shared" si="115"/>
        <v>Unique</v>
      </c>
      <c r="AD792" t="str">
        <f t="shared" si="116"/>
        <v>Clean</v>
      </c>
    </row>
    <row r="793" spans="1:30" x14ac:dyDescent="0.3">
      <c r="A793" t="s">
        <v>2458</v>
      </c>
      <c r="B793" s="2">
        <v>45567</v>
      </c>
      <c r="C793" s="2">
        <v>45571</v>
      </c>
      <c r="D793" t="s">
        <v>2459</v>
      </c>
      <c r="E793" t="s">
        <v>127</v>
      </c>
      <c r="F793" t="s">
        <v>104</v>
      </c>
      <c r="G793" t="s">
        <v>63</v>
      </c>
      <c r="H793" t="s">
        <v>184</v>
      </c>
      <c r="I793" t="s">
        <v>185</v>
      </c>
      <c r="J793" t="s">
        <v>50</v>
      </c>
      <c r="K793" t="s">
        <v>167</v>
      </c>
      <c r="L793" t="s">
        <v>2460</v>
      </c>
      <c r="M793" t="s">
        <v>53</v>
      </c>
      <c r="N793">
        <v>8</v>
      </c>
      <c r="O793">
        <v>1558.77</v>
      </c>
      <c r="P793" s="3">
        <v>0.25</v>
      </c>
      <c r="Q793">
        <v>9352.6200000000008</v>
      </c>
      <c r="R793">
        <v>5269.41</v>
      </c>
      <c r="S793">
        <v>4083.21</v>
      </c>
      <c r="T793" t="s">
        <v>41</v>
      </c>
      <c r="U793" t="s">
        <v>42</v>
      </c>
      <c r="V793" s="3">
        <f t="shared" si="108"/>
        <v>0.25</v>
      </c>
      <c r="W793">
        <f t="shared" si="109"/>
        <v>9352.619999999999</v>
      </c>
      <c r="X793">
        <f t="shared" si="110"/>
        <v>4083.2099999999991</v>
      </c>
      <c r="Y793" s="4">
        <f t="shared" si="111"/>
        <v>0.43658461479243243</v>
      </c>
      <c r="Z793">
        <f t="shared" si="112"/>
        <v>4</v>
      </c>
      <c r="AA793">
        <f t="shared" si="113"/>
        <v>10</v>
      </c>
      <c r="AB793">
        <f t="shared" si="114"/>
        <v>2024</v>
      </c>
      <c r="AC793" t="str">
        <f t="shared" si="115"/>
        <v>Unique</v>
      </c>
      <c r="AD793" t="str">
        <f t="shared" si="116"/>
        <v>Clean</v>
      </c>
    </row>
    <row r="794" spans="1:30" x14ac:dyDescent="0.3">
      <c r="A794" t="s">
        <v>2461</v>
      </c>
      <c r="B794" s="2">
        <v>45812</v>
      </c>
      <c r="C794" s="2">
        <v>45816</v>
      </c>
      <c r="D794" t="s">
        <v>2462</v>
      </c>
      <c r="E794" t="s">
        <v>62</v>
      </c>
      <c r="F794" t="s">
        <v>46</v>
      </c>
      <c r="G794" t="s">
        <v>47</v>
      </c>
      <c r="H794" t="s">
        <v>175</v>
      </c>
      <c r="I794" t="s">
        <v>176</v>
      </c>
      <c r="J794" t="s">
        <v>50</v>
      </c>
      <c r="K794" t="s">
        <v>66</v>
      </c>
      <c r="L794" t="s">
        <v>2463</v>
      </c>
      <c r="M794" t="s">
        <v>40</v>
      </c>
      <c r="N794">
        <v>1</v>
      </c>
      <c r="O794">
        <v>3501.12</v>
      </c>
      <c r="P794" s="3">
        <v>0.2</v>
      </c>
      <c r="Q794">
        <v>2800.9</v>
      </c>
      <c r="R794">
        <v>1735.98</v>
      </c>
      <c r="S794">
        <v>1064.92</v>
      </c>
      <c r="T794" t="s">
        <v>41</v>
      </c>
      <c r="U794" t="s">
        <v>112</v>
      </c>
      <c r="V794" s="3">
        <f t="shared" si="108"/>
        <v>0.2</v>
      </c>
      <c r="W794">
        <f t="shared" si="109"/>
        <v>2800.8960000000002</v>
      </c>
      <c r="X794">
        <f t="shared" si="110"/>
        <v>1064.9160000000002</v>
      </c>
      <c r="Y794" s="4">
        <f t="shared" si="111"/>
        <v>0.38020547710446945</v>
      </c>
      <c r="Z794">
        <f t="shared" si="112"/>
        <v>4</v>
      </c>
      <c r="AA794">
        <f t="shared" si="113"/>
        <v>6</v>
      </c>
      <c r="AB794">
        <f t="shared" si="114"/>
        <v>2025</v>
      </c>
      <c r="AC794" t="str">
        <f t="shared" si="115"/>
        <v>Unique</v>
      </c>
      <c r="AD794" t="str">
        <f t="shared" si="116"/>
        <v>Clean</v>
      </c>
    </row>
    <row r="795" spans="1:30" x14ac:dyDescent="0.3">
      <c r="A795" t="s">
        <v>2464</v>
      </c>
      <c r="B795" s="2">
        <v>45440</v>
      </c>
      <c r="C795" s="2">
        <v>45446</v>
      </c>
      <c r="D795" t="s">
        <v>2465</v>
      </c>
      <c r="E795" t="s">
        <v>80</v>
      </c>
      <c r="F795" t="s">
        <v>99</v>
      </c>
      <c r="G795" t="s">
        <v>34</v>
      </c>
      <c r="H795" t="s">
        <v>35</v>
      </c>
      <c r="I795" t="s">
        <v>36</v>
      </c>
      <c r="J795" t="s">
        <v>83</v>
      </c>
      <c r="K795" t="s">
        <v>89</v>
      </c>
      <c r="L795" t="s">
        <v>2466</v>
      </c>
      <c r="M795" t="s">
        <v>40</v>
      </c>
      <c r="N795">
        <v>5</v>
      </c>
      <c r="O795">
        <v>4302.32</v>
      </c>
      <c r="P795" s="3">
        <v>0</v>
      </c>
      <c r="Q795">
        <v>21511.599999999999</v>
      </c>
      <c r="R795">
        <v>15408.47</v>
      </c>
      <c r="S795">
        <v>6103.13</v>
      </c>
      <c r="T795" t="s">
        <v>41</v>
      </c>
      <c r="U795" t="s">
        <v>42</v>
      </c>
      <c r="V795" s="3">
        <f t="shared" si="108"/>
        <v>0</v>
      </c>
      <c r="W795">
        <f t="shared" si="109"/>
        <v>21511.599999999999</v>
      </c>
      <c r="X795">
        <f t="shared" si="110"/>
        <v>6103.1299999999992</v>
      </c>
      <c r="Y795" s="4">
        <f t="shared" si="111"/>
        <v>0.28371343833094703</v>
      </c>
      <c r="Z795">
        <f t="shared" si="112"/>
        <v>6</v>
      </c>
      <c r="AA795">
        <f t="shared" si="113"/>
        <v>5</v>
      </c>
      <c r="AB795">
        <f t="shared" si="114"/>
        <v>2024</v>
      </c>
      <c r="AC795" t="str">
        <f t="shared" si="115"/>
        <v>Unique</v>
      </c>
      <c r="AD795" t="str">
        <f t="shared" si="116"/>
        <v>Clean</v>
      </c>
    </row>
    <row r="796" spans="1:30" x14ac:dyDescent="0.3">
      <c r="A796" t="s">
        <v>2467</v>
      </c>
      <c r="B796" s="2">
        <v>45830</v>
      </c>
      <c r="C796" s="2">
        <v>45832</v>
      </c>
      <c r="D796" t="s">
        <v>2468</v>
      </c>
      <c r="E796" t="s">
        <v>141</v>
      </c>
      <c r="F796" t="s">
        <v>99</v>
      </c>
      <c r="G796" t="s">
        <v>47</v>
      </c>
      <c r="H796" t="s">
        <v>175</v>
      </c>
      <c r="I796" t="s">
        <v>176</v>
      </c>
      <c r="J796" t="s">
        <v>37</v>
      </c>
      <c r="K796" t="s">
        <v>38</v>
      </c>
      <c r="L796" t="s">
        <v>2469</v>
      </c>
      <c r="M796" t="s">
        <v>68</v>
      </c>
      <c r="N796">
        <v>9</v>
      </c>
      <c r="O796">
        <v>951.55</v>
      </c>
      <c r="P796" s="3">
        <v>0.15</v>
      </c>
      <c r="Q796">
        <v>7279.36</v>
      </c>
      <c r="R796">
        <v>4870.3900000000003</v>
      </c>
      <c r="S796">
        <v>2408.9699999999998</v>
      </c>
      <c r="T796" t="s">
        <v>41</v>
      </c>
      <c r="U796" t="s">
        <v>42</v>
      </c>
      <c r="V796" s="3">
        <f t="shared" si="108"/>
        <v>0.15</v>
      </c>
      <c r="W796">
        <f t="shared" si="109"/>
        <v>7279.3574999999992</v>
      </c>
      <c r="X796">
        <f t="shared" si="110"/>
        <v>2408.9674999999988</v>
      </c>
      <c r="Y796" s="4">
        <f t="shared" si="111"/>
        <v>0.33093133562955235</v>
      </c>
      <c r="Z796">
        <f t="shared" si="112"/>
        <v>2</v>
      </c>
      <c r="AA796">
        <f t="shared" si="113"/>
        <v>6</v>
      </c>
      <c r="AB796">
        <f t="shared" si="114"/>
        <v>2025</v>
      </c>
      <c r="AC796" t="str">
        <f t="shared" si="115"/>
        <v>Unique</v>
      </c>
      <c r="AD796" t="str">
        <f t="shared" si="116"/>
        <v>Clean</v>
      </c>
    </row>
    <row r="797" spans="1:30" x14ac:dyDescent="0.3">
      <c r="A797" t="s">
        <v>2470</v>
      </c>
      <c r="B797" s="2">
        <v>45503</v>
      </c>
      <c r="C797" s="2">
        <v>45503</v>
      </c>
      <c r="D797" t="s">
        <v>2471</v>
      </c>
      <c r="E797" t="s">
        <v>171</v>
      </c>
      <c r="F797" t="s">
        <v>104</v>
      </c>
      <c r="G797" t="s">
        <v>47</v>
      </c>
      <c r="H797" t="s">
        <v>48</v>
      </c>
      <c r="I797" t="s">
        <v>49</v>
      </c>
      <c r="J797" t="s">
        <v>83</v>
      </c>
      <c r="K797" t="s">
        <v>89</v>
      </c>
      <c r="L797" t="s">
        <v>2472</v>
      </c>
      <c r="M797" t="s">
        <v>53</v>
      </c>
      <c r="N797">
        <v>9</v>
      </c>
      <c r="O797">
        <v>2894.66</v>
      </c>
      <c r="P797" s="3">
        <v>0</v>
      </c>
      <c r="Q797">
        <v>26051.94</v>
      </c>
      <c r="R797">
        <v>16883.59</v>
      </c>
      <c r="S797">
        <v>9168.35</v>
      </c>
      <c r="T797" t="s">
        <v>111</v>
      </c>
      <c r="U797" t="s">
        <v>77</v>
      </c>
      <c r="V797" s="3">
        <f t="shared" si="108"/>
        <v>0</v>
      </c>
      <c r="W797">
        <f t="shared" si="109"/>
        <v>26051.94</v>
      </c>
      <c r="X797">
        <f t="shared" si="110"/>
        <v>9168.3499999999985</v>
      </c>
      <c r="Y797" s="4">
        <f t="shared" si="111"/>
        <v>0.3519258066769691</v>
      </c>
      <c r="Z797">
        <f t="shared" si="112"/>
        <v>0</v>
      </c>
      <c r="AA797">
        <f t="shared" si="113"/>
        <v>7</v>
      </c>
      <c r="AB797">
        <f t="shared" si="114"/>
        <v>2024</v>
      </c>
      <c r="AC797" t="str">
        <f t="shared" si="115"/>
        <v>Unique</v>
      </c>
      <c r="AD797" t="str">
        <f t="shared" si="116"/>
        <v>Warning</v>
      </c>
    </row>
    <row r="798" spans="1:30" x14ac:dyDescent="0.3">
      <c r="A798" t="s">
        <v>2473</v>
      </c>
      <c r="B798" s="2">
        <v>45374</v>
      </c>
      <c r="C798" s="2">
        <v>45381</v>
      </c>
      <c r="D798" t="s">
        <v>2474</v>
      </c>
      <c r="E798" t="s">
        <v>150</v>
      </c>
      <c r="F798" t="s">
        <v>46</v>
      </c>
      <c r="G798" t="s">
        <v>63</v>
      </c>
      <c r="H798" t="s">
        <v>93</v>
      </c>
      <c r="I798" t="s">
        <v>94</v>
      </c>
      <c r="J798" t="s">
        <v>83</v>
      </c>
      <c r="K798" t="s">
        <v>284</v>
      </c>
      <c r="L798" t="s">
        <v>2475</v>
      </c>
      <c r="M798" t="s">
        <v>59</v>
      </c>
      <c r="N798">
        <v>6</v>
      </c>
      <c r="O798">
        <v>1894.44</v>
      </c>
      <c r="P798" s="3">
        <v>0.15</v>
      </c>
      <c r="Q798">
        <v>9661.64</v>
      </c>
      <c r="R798">
        <v>6303.77</v>
      </c>
      <c r="S798">
        <v>3357.87</v>
      </c>
      <c r="T798" t="s">
        <v>41</v>
      </c>
      <c r="U798" t="s">
        <v>42</v>
      </c>
      <c r="V798" s="3">
        <f t="shared" si="108"/>
        <v>0.15</v>
      </c>
      <c r="W798">
        <f t="shared" si="109"/>
        <v>9661.6439999999984</v>
      </c>
      <c r="X798">
        <f t="shared" si="110"/>
        <v>3357.873999999998</v>
      </c>
      <c r="Y798" s="4">
        <f t="shared" si="111"/>
        <v>0.34754685641491223</v>
      </c>
      <c r="Z798">
        <f t="shared" si="112"/>
        <v>7</v>
      </c>
      <c r="AA798">
        <f t="shared" si="113"/>
        <v>3</v>
      </c>
      <c r="AB798">
        <f t="shared" si="114"/>
        <v>2024</v>
      </c>
      <c r="AC798" t="str">
        <f t="shared" si="115"/>
        <v>Unique</v>
      </c>
      <c r="AD798" t="str">
        <f t="shared" si="116"/>
        <v>Clean</v>
      </c>
    </row>
    <row r="799" spans="1:30" x14ac:dyDescent="0.3">
      <c r="A799" t="s">
        <v>2476</v>
      </c>
      <c r="B799" s="2">
        <v>45400</v>
      </c>
      <c r="C799" s="2">
        <v>45404</v>
      </c>
      <c r="D799" t="s">
        <v>2477</v>
      </c>
      <c r="E799" t="s">
        <v>137</v>
      </c>
      <c r="F799" t="s">
        <v>33</v>
      </c>
      <c r="G799" t="s">
        <v>47</v>
      </c>
      <c r="H799" t="s">
        <v>48</v>
      </c>
      <c r="I799" t="s">
        <v>49</v>
      </c>
      <c r="J799" t="s">
        <v>37</v>
      </c>
      <c r="K799" t="s">
        <v>162</v>
      </c>
      <c r="L799" t="s">
        <v>2478</v>
      </c>
      <c r="M799" t="s">
        <v>59</v>
      </c>
      <c r="N799">
        <v>8</v>
      </c>
      <c r="O799">
        <v>1714.37</v>
      </c>
      <c r="P799" s="3">
        <v>0</v>
      </c>
      <c r="Q799">
        <v>13714.96</v>
      </c>
      <c r="R799">
        <v>10550.47</v>
      </c>
      <c r="S799">
        <v>3164.49</v>
      </c>
      <c r="T799" t="s">
        <v>164</v>
      </c>
      <c r="U799" t="s">
        <v>77</v>
      </c>
      <c r="V799" s="3">
        <f t="shared" si="108"/>
        <v>0</v>
      </c>
      <c r="W799">
        <f t="shared" si="109"/>
        <v>13714.96</v>
      </c>
      <c r="X799">
        <f t="shared" si="110"/>
        <v>3164.49</v>
      </c>
      <c r="Y799" s="4">
        <f t="shared" si="111"/>
        <v>0.23073271814135804</v>
      </c>
      <c r="Z799">
        <f t="shared" si="112"/>
        <v>4</v>
      </c>
      <c r="AA799">
        <f t="shared" si="113"/>
        <v>4</v>
      </c>
      <c r="AB799">
        <f t="shared" si="114"/>
        <v>2024</v>
      </c>
      <c r="AC799" t="str">
        <f t="shared" si="115"/>
        <v>Unique</v>
      </c>
      <c r="AD799" t="str">
        <f t="shared" si="116"/>
        <v>Warning</v>
      </c>
    </row>
    <row r="800" spans="1:30" x14ac:dyDescent="0.3">
      <c r="A800" t="s">
        <v>2479</v>
      </c>
      <c r="B800" s="2">
        <v>45849</v>
      </c>
      <c r="C800" s="2">
        <v>45847</v>
      </c>
      <c r="D800" t="s">
        <v>2480</v>
      </c>
      <c r="E800" t="s">
        <v>98</v>
      </c>
      <c r="F800" t="s">
        <v>99</v>
      </c>
      <c r="G800" t="s">
        <v>34</v>
      </c>
      <c r="H800" t="s">
        <v>360</v>
      </c>
      <c r="I800" t="s">
        <v>361</v>
      </c>
      <c r="J800" t="s">
        <v>50</v>
      </c>
      <c r="K800" t="s">
        <v>66</v>
      </c>
      <c r="L800" t="s">
        <v>2481</v>
      </c>
      <c r="M800" t="s">
        <v>68</v>
      </c>
      <c r="N800">
        <v>9</v>
      </c>
      <c r="O800">
        <v>1706.05</v>
      </c>
      <c r="P800" s="3">
        <v>0</v>
      </c>
      <c r="Q800">
        <v>15354.45</v>
      </c>
      <c r="R800">
        <v>9656.5</v>
      </c>
      <c r="S800">
        <v>5697.95</v>
      </c>
      <c r="T800" t="s">
        <v>41</v>
      </c>
      <c r="U800" t="s">
        <v>42</v>
      </c>
      <c r="V800" s="3">
        <f t="shared" si="108"/>
        <v>0</v>
      </c>
      <c r="W800">
        <f t="shared" si="109"/>
        <v>15354.449999999999</v>
      </c>
      <c r="X800">
        <f t="shared" si="110"/>
        <v>5697.9499999999989</v>
      </c>
      <c r="Y800" s="4">
        <f t="shared" si="111"/>
        <v>0.37109437329243311</v>
      </c>
      <c r="Z800">
        <f t="shared" si="112"/>
        <v>-2</v>
      </c>
      <c r="AA800">
        <f t="shared" si="113"/>
        <v>7</v>
      </c>
      <c r="AB800">
        <f t="shared" si="114"/>
        <v>2025</v>
      </c>
      <c r="AC800" t="str">
        <f t="shared" si="115"/>
        <v>Unique</v>
      </c>
      <c r="AD800" t="str">
        <f t="shared" si="116"/>
        <v>Invalid</v>
      </c>
    </row>
    <row r="801" spans="1:30" x14ac:dyDescent="0.3">
      <c r="A801" t="s">
        <v>2482</v>
      </c>
      <c r="B801" s="2">
        <v>45575</v>
      </c>
      <c r="C801" s="2">
        <v>45582</v>
      </c>
      <c r="D801" t="s">
        <v>2483</v>
      </c>
      <c r="E801" t="s">
        <v>56</v>
      </c>
      <c r="F801" t="s">
        <v>104</v>
      </c>
      <c r="G801" t="s">
        <v>34</v>
      </c>
      <c r="H801" t="s">
        <v>246</v>
      </c>
      <c r="I801" t="s">
        <v>247</v>
      </c>
      <c r="J801" t="s">
        <v>83</v>
      </c>
      <c r="K801" t="s">
        <v>84</v>
      </c>
      <c r="L801" t="s">
        <v>2484</v>
      </c>
      <c r="M801" t="s">
        <v>214</v>
      </c>
      <c r="N801">
        <v>5</v>
      </c>
      <c r="O801">
        <v>967.41</v>
      </c>
      <c r="P801" s="3">
        <v>0.05</v>
      </c>
      <c r="Q801">
        <v>4595.2</v>
      </c>
      <c r="R801">
        <v>3887.41</v>
      </c>
      <c r="S801">
        <v>707.79</v>
      </c>
      <c r="T801" t="s">
        <v>41</v>
      </c>
      <c r="U801" t="s">
        <v>112</v>
      </c>
      <c r="V801" s="3">
        <f t="shared" si="108"/>
        <v>0.05</v>
      </c>
      <c r="W801">
        <f t="shared" si="109"/>
        <v>4595.1975000000002</v>
      </c>
      <c r="X801">
        <f t="shared" si="110"/>
        <v>707.78750000000036</v>
      </c>
      <c r="Y801" s="4">
        <f t="shared" si="111"/>
        <v>0.15402765604742785</v>
      </c>
      <c r="Z801">
        <f t="shared" si="112"/>
        <v>7</v>
      </c>
      <c r="AA801">
        <f t="shared" si="113"/>
        <v>10</v>
      </c>
      <c r="AB801">
        <f t="shared" si="114"/>
        <v>2024</v>
      </c>
      <c r="AC801" t="str">
        <f t="shared" si="115"/>
        <v>Unique</v>
      </c>
      <c r="AD801" t="str">
        <f t="shared" si="116"/>
        <v>Warning</v>
      </c>
    </row>
    <row r="802" spans="1:30" x14ac:dyDescent="0.3">
      <c r="A802" t="s">
        <v>2485</v>
      </c>
      <c r="B802" s="2">
        <v>45352</v>
      </c>
      <c r="C802" s="2">
        <v>45358</v>
      </c>
      <c r="D802" t="s">
        <v>2486</v>
      </c>
      <c r="E802" t="s">
        <v>80</v>
      </c>
      <c r="F802" t="s">
        <v>46</v>
      </c>
      <c r="G802" t="s">
        <v>72</v>
      </c>
      <c r="H802" t="s">
        <v>73</v>
      </c>
      <c r="I802" t="s">
        <v>74</v>
      </c>
      <c r="J802" t="s">
        <v>37</v>
      </c>
      <c r="K802" t="s">
        <v>133</v>
      </c>
      <c r="L802" t="s">
        <v>2487</v>
      </c>
      <c r="M802" t="s">
        <v>40</v>
      </c>
      <c r="N802">
        <v>6</v>
      </c>
      <c r="O802">
        <v>4163.72</v>
      </c>
      <c r="P802" s="3">
        <v>0.15</v>
      </c>
      <c r="Q802">
        <v>21234.97</v>
      </c>
      <c r="R802">
        <v>16736.09</v>
      </c>
      <c r="S802">
        <v>4498.88</v>
      </c>
      <c r="T802" t="s">
        <v>41</v>
      </c>
      <c r="U802" t="s">
        <v>42</v>
      </c>
      <c r="V802" s="3">
        <f t="shared" si="108"/>
        <v>0.15</v>
      </c>
      <c r="W802">
        <f t="shared" si="109"/>
        <v>21234.971999999998</v>
      </c>
      <c r="X802">
        <f t="shared" si="110"/>
        <v>4498.8819999999978</v>
      </c>
      <c r="Y802" s="4">
        <f t="shared" si="111"/>
        <v>0.21186192286950029</v>
      </c>
      <c r="Z802">
        <f t="shared" si="112"/>
        <v>6</v>
      </c>
      <c r="AA802">
        <f t="shared" si="113"/>
        <v>3</v>
      </c>
      <c r="AB802">
        <f t="shared" si="114"/>
        <v>2024</v>
      </c>
      <c r="AC802" t="str">
        <f t="shared" si="115"/>
        <v>Unique</v>
      </c>
      <c r="AD802" t="str">
        <f t="shared" si="116"/>
        <v>Clean</v>
      </c>
    </row>
    <row r="803" spans="1:30" x14ac:dyDescent="0.3">
      <c r="A803" t="s">
        <v>2488</v>
      </c>
      <c r="B803" s="2">
        <v>45938</v>
      </c>
      <c r="C803" s="2">
        <v>45945</v>
      </c>
      <c r="D803" t="s">
        <v>2489</v>
      </c>
      <c r="E803" t="s">
        <v>137</v>
      </c>
      <c r="F803" t="s">
        <v>104</v>
      </c>
      <c r="G803" t="s">
        <v>47</v>
      </c>
      <c r="H803" t="s">
        <v>48</v>
      </c>
      <c r="I803" t="s">
        <v>49</v>
      </c>
      <c r="J803" t="s">
        <v>83</v>
      </c>
      <c r="K803" t="s">
        <v>84</v>
      </c>
      <c r="L803" t="s">
        <v>2490</v>
      </c>
      <c r="M803" t="s">
        <v>40</v>
      </c>
      <c r="N803">
        <v>3</v>
      </c>
      <c r="O803">
        <v>3372.21</v>
      </c>
      <c r="P803" s="3">
        <v>0.2</v>
      </c>
      <c r="Q803">
        <v>8093.3</v>
      </c>
      <c r="R803">
        <v>6052.43</v>
      </c>
      <c r="S803">
        <v>2040.87</v>
      </c>
      <c r="T803" t="s">
        <v>120</v>
      </c>
      <c r="U803" t="s">
        <v>77</v>
      </c>
      <c r="V803" s="3">
        <f t="shared" si="108"/>
        <v>0.2</v>
      </c>
      <c r="W803">
        <f t="shared" si="109"/>
        <v>8093.304000000001</v>
      </c>
      <c r="X803">
        <f t="shared" si="110"/>
        <v>2040.8740000000007</v>
      </c>
      <c r="Y803" s="4">
        <f t="shared" si="111"/>
        <v>0.25216821214179036</v>
      </c>
      <c r="Z803">
        <f t="shared" si="112"/>
        <v>7</v>
      </c>
      <c r="AA803">
        <f t="shared" si="113"/>
        <v>10</v>
      </c>
      <c r="AB803">
        <f t="shared" si="114"/>
        <v>2025</v>
      </c>
      <c r="AC803" t="str">
        <f t="shared" si="115"/>
        <v>Unique</v>
      </c>
      <c r="AD803" t="str">
        <f t="shared" si="116"/>
        <v>Warning</v>
      </c>
    </row>
    <row r="804" spans="1:30" x14ac:dyDescent="0.3">
      <c r="A804" t="s">
        <v>2491</v>
      </c>
      <c r="B804" s="2">
        <v>45704</v>
      </c>
      <c r="C804" s="2">
        <v>45704</v>
      </c>
      <c r="D804" t="s">
        <v>2492</v>
      </c>
      <c r="E804" t="s">
        <v>150</v>
      </c>
      <c r="F804" t="s">
        <v>46</v>
      </c>
      <c r="G804" t="s">
        <v>47</v>
      </c>
      <c r="H804" t="s">
        <v>175</v>
      </c>
      <c r="I804" t="s">
        <v>176</v>
      </c>
      <c r="J804" t="s">
        <v>50</v>
      </c>
      <c r="K804" t="s">
        <v>66</v>
      </c>
      <c r="L804" t="s">
        <v>2493</v>
      </c>
      <c r="M804" t="s">
        <v>40</v>
      </c>
      <c r="N804">
        <v>6</v>
      </c>
      <c r="O804">
        <v>1441.91</v>
      </c>
      <c r="P804" s="3">
        <v>0</v>
      </c>
      <c r="Q804">
        <v>8651.4599999999991</v>
      </c>
      <c r="R804">
        <v>5254.62</v>
      </c>
      <c r="S804">
        <v>3396.84</v>
      </c>
      <c r="T804" t="s">
        <v>164</v>
      </c>
      <c r="U804" t="s">
        <v>112</v>
      </c>
      <c r="V804" s="3">
        <f t="shared" si="108"/>
        <v>0</v>
      </c>
      <c r="W804">
        <f t="shared" si="109"/>
        <v>8651.4600000000009</v>
      </c>
      <c r="X804">
        <f t="shared" si="110"/>
        <v>3396.8400000000011</v>
      </c>
      <c r="Y804" s="4">
        <f t="shared" si="111"/>
        <v>0.39263199506210522</v>
      </c>
      <c r="Z804">
        <f t="shared" si="112"/>
        <v>0</v>
      </c>
      <c r="AA804">
        <f t="shared" si="113"/>
        <v>2</v>
      </c>
      <c r="AB804">
        <f t="shared" si="114"/>
        <v>2025</v>
      </c>
      <c r="AC804" t="str">
        <f t="shared" si="115"/>
        <v>Unique</v>
      </c>
      <c r="AD804" t="str">
        <f t="shared" si="116"/>
        <v>Warning</v>
      </c>
    </row>
    <row r="805" spans="1:30" x14ac:dyDescent="0.3">
      <c r="A805" t="s">
        <v>2494</v>
      </c>
      <c r="B805" s="2">
        <v>45635</v>
      </c>
      <c r="C805" s="2">
        <v>45639</v>
      </c>
      <c r="D805" t="s">
        <v>2495</v>
      </c>
      <c r="E805" t="s">
        <v>150</v>
      </c>
      <c r="F805" t="s">
        <v>33</v>
      </c>
      <c r="G805" t="s">
        <v>214</v>
      </c>
      <c r="H805" t="s">
        <v>238</v>
      </c>
      <c r="I805" t="s">
        <v>239</v>
      </c>
      <c r="J805" t="s">
        <v>37</v>
      </c>
      <c r="K805" t="s">
        <v>100</v>
      </c>
      <c r="L805" t="s">
        <v>2496</v>
      </c>
      <c r="M805" t="s">
        <v>59</v>
      </c>
      <c r="N805">
        <v>1</v>
      </c>
      <c r="O805">
        <v>4306.6499999999996</v>
      </c>
      <c r="P805" s="3">
        <v>0</v>
      </c>
      <c r="Q805">
        <v>4306.6499999999996</v>
      </c>
      <c r="R805">
        <v>2568.8200000000002</v>
      </c>
      <c r="S805">
        <v>1737.83</v>
      </c>
      <c r="T805" t="s">
        <v>41</v>
      </c>
      <c r="U805" t="s">
        <v>42</v>
      </c>
      <c r="V805" s="3">
        <f t="shared" si="108"/>
        <v>0</v>
      </c>
      <c r="W805">
        <f t="shared" si="109"/>
        <v>4306.6499999999996</v>
      </c>
      <c r="X805">
        <f t="shared" si="110"/>
        <v>1737.8299999999995</v>
      </c>
      <c r="Y805" s="4">
        <f t="shared" si="111"/>
        <v>0.40352245945224235</v>
      </c>
      <c r="Z805">
        <f t="shared" si="112"/>
        <v>4</v>
      </c>
      <c r="AA805">
        <f t="shared" si="113"/>
        <v>12</v>
      </c>
      <c r="AB805">
        <f t="shared" si="114"/>
        <v>2024</v>
      </c>
      <c r="AC805" t="str">
        <f t="shared" si="115"/>
        <v>Unique</v>
      </c>
      <c r="AD805" t="str">
        <f t="shared" si="116"/>
        <v>Warning</v>
      </c>
    </row>
    <row r="806" spans="1:30" x14ac:dyDescent="0.3">
      <c r="A806" t="s">
        <v>2497</v>
      </c>
      <c r="B806" s="2">
        <v>45910</v>
      </c>
      <c r="C806" s="2">
        <v>45918</v>
      </c>
      <c r="D806" t="s">
        <v>2498</v>
      </c>
      <c r="E806" t="s">
        <v>127</v>
      </c>
      <c r="F806" t="s">
        <v>104</v>
      </c>
      <c r="G806" t="s">
        <v>63</v>
      </c>
      <c r="H806" t="s">
        <v>64</v>
      </c>
      <c r="I806" t="s">
        <v>65</v>
      </c>
      <c r="J806" t="s">
        <v>50</v>
      </c>
      <c r="K806" t="s">
        <v>66</v>
      </c>
      <c r="L806" t="s">
        <v>2499</v>
      </c>
      <c r="M806" t="s">
        <v>68</v>
      </c>
      <c r="N806">
        <v>1</v>
      </c>
      <c r="O806">
        <v>2050.62</v>
      </c>
      <c r="P806" s="3">
        <v>0.05</v>
      </c>
      <c r="Q806">
        <v>1948.09</v>
      </c>
      <c r="R806">
        <v>1507.08</v>
      </c>
      <c r="S806">
        <v>441.01</v>
      </c>
      <c r="T806" t="s">
        <v>41</v>
      </c>
      <c r="U806" t="s">
        <v>42</v>
      </c>
      <c r="V806" s="3">
        <f t="shared" si="108"/>
        <v>0.05</v>
      </c>
      <c r="W806">
        <f t="shared" si="109"/>
        <v>1948.0889999999997</v>
      </c>
      <c r="X806">
        <f t="shared" si="110"/>
        <v>441.00899999999979</v>
      </c>
      <c r="Y806" s="4">
        <f t="shared" si="111"/>
        <v>0.22638031424642296</v>
      </c>
      <c r="Z806">
        <f t="shared" si="112"/>
        <v>8</v>
      </c>
      <c r="AA806">
        <f t="shared" si="113"/>
        <v>9</v>
      </c>
      <c r="AB806">
        <f t="shared" si="114"/>
        <v>2025</v>
      </c>
      <c r="AC806" t="str">
        <f t="shared" si="115"/>
        <v>Unique</v>
      </c>
      <c r="AD806" t="str">
        <f t="shared" si="116"/>
        <v>Clean</v>
      </c>
    </row>
    <row r="807" spans="1:30" x14ac:dyDescent="0.3">
      <c r="A807" t="s">
        <v>2500</v>
      </c>
      <c r="B807" s="2">
        <v>45753</v>
      </c>
      <c r="C807" s="2">
        <v>45754</v>
      </c>
      <c r="D807" t="s">
        <v>2365</v>
      </c>
      <c r="E807" t="s">
        <v>123</v>
      </c>
      <c r="F807" t="s">
        <v>104</v>
      </c>
      <c r="G807" t="s">
        <v>47</v>
      </c>
      <c r="H807" t="s">
        <v>175</v>
      </c>
      <c r="I807" t="s">
        <v>176</v>
      </c>
      <c r="J807" t="s">
        <v>37</v>
      </c>
      <c r="K807" t="s">
        <v>162</v>
      </c>
      <c r="L807" t="s">
        <v>2501</v>
      </c>
      <c r="M807" t="s">
        <v>40</v>
      </c>
      <c r="N807">
        <v>2</v>
      </c>
      <c r="O807">
        <v>2030.06</v>
      </c>
      <c r="P807" s="3">
        <v>0.25</v>
      </c>
      <c r="Q807">
        <v>3045.09</v>
      </c>
      <c r="R807">
        <v>2601.09</v>
      </c>
      <c r="S807">
        <v>444</v>
      </c>
      <c r="T807" t="s">
        <v>41</v>
      </c>
      <c r="U807" t="s">
        <v>42</v>
      </c>
      <c r="V807" s="3">
        <f t="shared" si="108"/>
        <v>0.25</v>
      </c>
      <c r="W807">
        <f t="shared" si="109"/>
        <v>3045.09</v>
      </c>
      <c r="X807">
        <f t="shared" si="110"/>
        <v>444</v>
      </c>
      <c r="Y807" s="4">
        <f t="shared" si="111"/>
        <v>0.14580849827098705</v>
      </c>
      <c r="Z807">
        <f t="shared" si="112"/>
        <v>1</v>
      </c>
      <c r="AA807">
        <f t="shared" si="113"/>
        <v>4</v>
      </c>
      <c r="AB807">
        <f t="shared" si="114"/>
        <v>2025</v>
      </c>
      <c r="AC807" t="str">
        <f t="shared" si="115"/>
        <v>Unique</v>
      </c>
      <c r="AD807" t="str">
        <f t="shared" si="116"/>
        <v>Clean</v>
      </c>
    </row>
    <row r="808" spans="1:30" x14ac:dyDescent="0.3">
      <c r="A808" t="s">
        <v>2502</v>
      </c>
      <c r="B808" s="2">
        <v>45605</v>
      </c>
      <c r="C808" s="2">
        <v>45611</v>
      </c>
      <c r="D808" t="s">
        <v>2503</v>
      </c>
      <c r="E808" t="s">
        <v>56</v>
      </c>
      <c r="F808" t="s">
        <v>104</v>
      </c>
      <c r="G808" t="s">
        <v>34</v>
      </c>
      <c r="H808" t="s">
        <v>35</v>
      </c>
      <c r="I808" t="s">
        <v>36</v>
      </c>
      <c r="J808" t="s">
        <v>83</v>
      </c>
      <c r="K808" t="s">
        <v>89</v>
      </c>
      <c r="L808" t="s">
        <v>2504</v>
      </c>
      <c r="M808" t="s">
        <v>68</v>
      </c>
      <c r="N808">
        <v>1</v>
      </c>
      <c r="O808">
        <v>3665.97</v>
      </c>
      <c r="P808" s="3">
        <v>0.2</v>
      </c>
      <c r="Q808">
        <v>2932.78</v>
      </c>
      <c r="R808">
        <v>1900.35</v>
      </c>
      <c r="S808">
        <v>1032.43</v>
      </c>
      <c r="T808" t="s">
        <v>164</v>
      </c>
      <c r="U808" t="s">
        <v>77</v>
      </c>
      <c r="V808" s="3">
        <f t="shared" si="108"/>
        <v>0.2</v>
      </c>
      <c r="W808">
        <f t="shared" si="109"/>
        <v>2932.7759999999998</v>
      </c>
      <c r="X808">
        <f t="shared" si="110"/>
        <v>1032.4259999999999</v>
      </c>
      <c r="Y808" s="4">
        <f t="shared" si="111"/>
        <v>0.35203029484692999</v>
      </c>
      <c r="Z808">
        <f t="shared" si="112"/>
        <v>6</v>
      </c>
      <c r="AA808">
        <f t="shared" si="113"/>
        <v>11</v>
      </c>
      <c r="AB808">
        <f t="shared" si="114"/>
        <v>2024</v>
      </c>
      <c r="AC808" t="str">
        <f t="shared" si="115"/>
        <v>Unique</v>
      </c>
      <c r="AD808" t="str">
        <f t="shared" si="116"/>
        <v>Warning</v>
      </c>
    </row>
    <row r="809" spans="1:30" x14ac:dyDescent="0.3">
      <c r="A809" t="s">
        <v>2505</v>
      </c>
      <c r="B809" s="2">
        <v>45695</v>
      </c>
      <c r="C809" s="2">
        <v>45696</v>
      </c>
      <c r="D809" t="s">
        <v>2506</v>
      </c>
      <c r="E809" t="s">
        <v>32</v>
      </c>
      <c r="F809" t="s">
        <v>46</v>
      </c>
      <c r="G809" t="s">
        <v>63</v>
      </c>
      <c r="H809" t="s">
        <v>64</v>
      </c>
      <c r="I809" t="s">
        <v>65</v>
      </c>
      <c r="J809" t="s">
        <v>37</v>
      </c>
      <c r="K809" t="s">
        <v>100</v>
      </c>
      <c r="L809" t="s">
        <v>2507</v>
      </c>
      <c r="M809" t="s">
        <v>68</v>
      </c>
      <c r="N809">
        <v>2</v>
      </c>
      <c r="O809">
        <v>2432.98</v>
      </c>
      <c r="P809" s="3">
        <v>0.1</v>
      </c>
      <c r="Q809">
        <v>4379.3599999999997</v>
      </c>
      <c r="R809">
        <v>3723.93</v>
      </c>
      <c r="S809">
        <v>655.43</v>
      </c>
      <c r="T809" t="s">
        <v>41</v>
      </c>
      <c r="U809" t="s">
        <v>42</v>
      </c>
      <c r="V809" s="3">
        <f t="shared" si="108"/>
        <v>0.1</v>
      </c>
      <c r="W809">
        <f t="shared" si="109"/>
        <v>4379.3640000000005</v>
      </c>
      <c r="X809">
        <f t="shared" si="110"/>
        <v>655.43400000000065</v>
      </c>
      <c r="Y809" s="4">
        <f t="shared" si="111"/>
        <v>0.14966419781502532</v>
      </c>
      <c r="Z809">
        <f t="shared" si="112"/>
        <v>1</v>
      </c>
      <c r="AA809">
        <f t="shared" si="113"/>
        <v>2</v>
      </c>
      <c r="AB809">
        <f t="shared" si="114"/>
        <v>2025</v>
      </c>
      <c r="AC809" t="str">
        <f t="shared" si="115"/>
        <v>Unique</v>
      </c>
      <c r="AD809" t="str">
        <f t="shared" si="116"/>
        <v>Clean</v>
      </c>
    </row>
    <row r="810" spans="1:30" x14ac:dyDescent="0.3">
      <c r="A810" t="s">
        <v>2508</v>
      </c>
      <c r="B810" s="2">
        <v>45900</v>
      </c>
      <c r="C810" s="2">
        <v>45897</v>
      </c>
      <c r="D810" t="s">
        <v>2509</v>
      </c>
      <c r="E810" t="s">
        <v>137</v>
      </c>
      <c r="F810" t="s">
        <v>46</v>
      </c>
      <c r="G810" t="s">
        <v>63</v>
      </c>
      <c r="H810" t="s">
        <v>257</v>
      </c>
      <c r="I810" t="s">
        <v>258</v>
      </c>
      <c r="J810" t="s">
        <v>50</v>
      </c>
      <c r="K810" t="s">
        <v>66</v>
      </c>
      <c r="L810" t="s">
        <v>2510</v>
      </c>
      <c r="M810" t="s">
        <v>59</v>
      </c>
      <c r="N810">
        <v>7</v>
      </c>
      <c r="O810">
        <v>977.28</v>
      </c>
      <c r="P810" s="3">
        <v>0.2</v>
      </c>
      <c r="Q810">
        <v>5472.77</v>
      </c>
      <c r="R810">
        <v>4477.33</v>
      </c>
      <c r="S810">
        <v>995.44</v>
      </c>
      <c r="T810" t="s">
        <v>41</v>
      </c>
      <c r="U810" t="s">
        <v>42</v>
      </c>
      <c r="V810" s="3">
        <f t="shared" si="108"/>
        <v>0.2</v>
      </c>
      <c r="W810">
        <f t="shared" si="109"/>
        <v>5472.768</v>
      </c>
      <c r="X810">
        <f t="shared" si="110"/>
        <v>995.4380000000001</v>
      </c>
      <c r="Y810" s="4">
        <f t="shared" si="111"/>
        <v>0.18188931085695575</v>
      </c>
      <c r="Z810">
        <f t="shared" si="112"/>
        <v>-3</v>
      </c>
      <c r="AA810">
        <f t="shared" si="113"/>
        <v>8</v>
      </c>
      <c r="AB810">
        <f t="shared" si="114"/>
        <v>2025</v>
      </c>
      <c r="AC810" t="str">
        <f t="shared" si="115"/>
        <v>Unique</v>
      </c>
      <c r="AD810" t="str">
        <f t="shared" si="116"/>
        <v>Invalid</v>
      </c>
    </row>
    <row r="811" spans="1:30" x14ac:dyDescent="0.3">
      <c r="A811" t="s">
        <v>2511</v>
      </c>
      <c r="B811" s="2">
        <v>45833</v>
      </c>
      <c r="C811" s="2">
        <v>45833</v>
      </c>
      <c r="D811" t="s">
        <v>2512</v>
      </c>
      <c r="E811" t="s">
        <v>62</v>
      </c>
      <c r="F811" t="s">
        <v>46</v>
      </c>
      <c r="G811" t="s">
        <v>214</v>
      </c>
      <c r="H811" t="s">
        <v>131</v>
      </c>
      <c r="I811" t="s">
        <v>132</v>
      </c>
      <c r="J811" t="s">
        <v>37</v>
      </c>
      <c r="K811" t="s">
        <v>162</v>
      </c>
      <c r="L811" t="s">
        <v>2513</v>
      </c>
      <c r="M811" t="s">
        <v>40</v>
      </c>
      <c r="N811">
        <v>6</v>
      </c>
      <c r="O811">
        <v>1366.13</v>
      </c>
      <c r="P811" s="3">
        <v>0.1</v>
      </c>
      <c r="Q811">
        <v>7377.1</v>
      </c>
      <c r="R811">
        <v>5085.21</v>
      </c>
      <c r="S811">
        <v>2291.89</v>
      </c>
      <c r="T811" t="s">
        <v>41</v>
      </c>
      <c r="U811" t="s">
        <v>42</v>
      </c>
      <c r="V811" s="3">
        <f t="shared" si="108"/>
        <v>0.1</v>
      </c>
      <c r="W811">
        <f t="shared" si="109"/>
        <v>7377.1020000000008</v>
      </c>
      <c r="X811">
        <f t="shared" si="110"/>
        <v>2291.8920000000007</v>
      </c>
      <c r="Y811" s="4">
        <f t="shared" si="111"/>
        <v>0.31067646888981615</v>
      </c>
      <c r="Z811">
        <f t="shared" si="112"/>
        <v>0</v>
      </c>
      <c r="AA811">
        <f t="shared" si="113"/>
        <v>6</v>
      </c>
      <c r="AB811">
        <f t="shared" si="114"/>
        <v>2025</v>
      </c>
      <c r="AC811" t="str">
        <f t="shared" si="115"/>
        <v>Unique</v>
      </c>
      <c r="AD811" t="str">
        <f t="shared" si="116"/>
        <v>Warning</v>
      </c>
    </row>
    <row r="812" spans="1:30" x14ac:dyDescent="0.3">
      <c r="A812" t="s">
        <v>2514</v>
      </c>
      <c r="B812" s="2">
        <v>45385</v>
      </c>
      <c r="C812" s="2">
        <v>45390</v>
      </c>
      <c r="D812" t="s">
        <v>1678</v>
      </c>
      <c r="E812" t="s">
        <v>274</v>
      </c>
      <c r="F812" t="s">
        <v>104</v>
      </c>
      <c r="G812" t="s">
        <v>72</v>
      </c>
      <c r="H812" t="s">
        <v>189</v>
      </c>
      <c r="I812" t="s">
        <v>190</v>
      </c>
      <c r="J812" t="s">
        <v>83</v>
      </c>
      <c r="K812" t="s">
        <v>89</v>
      </c>
      <c r="L812" t="s">
        <v>2515</v>
      </c>
      <c r="M812" t="s">
        <v>59</v>
      </c>
      <c r="N812">
        <v>1</v>
      </c>
      <c r="O812">
        <v>3151.85</v>
      </c>
      <c r="P812" s="3">
        <v>0.25</v>
      </c>
      <c r="Q812">
        <v>2363.89</v>
      </c>
      <c r="R812">
        <v>1471.51</v>
      </c>
      <c r="S812">
        <v>892.38</v>
      </c>
      <c r="T812" t="s">
        <v>41</v>
      </c>
      <c r="U812" t="s">
        <v>42</v>
      </c>
      <c r="V812" s="3">
        <f t="shared" si="108"/>
        <v>0.25</v>
      </c>
      <c r="W812">
        <f t="shared" si="109"/>
        <v>2363.8874999999998</v>
      </c>
      <c r="X812">
        <f t="shared" si="110"/>
        <v>892.37749999999983</v>
      </c>
      <c r="Y812" s="4">
        <f t="shared" si="111"/>
        <v>0.37750421710000998</v>
      </c>
      <c r="Z812">
        <f t="shared" si="112"/>
        <v>5</v>
      </c>
      <c r="AA812">
        <f t="shared" si="113"/>
        <v>4</v>
      </c>
      <c r="AB812">
        <f t="shared" si="114"/>
        <v>2024</v>
      </c>
      <c r="AC812" t="str">
        <f t="shared" si="115"/>
        <v>Unique</v>
      </c>
      <c r="AD812" t="str">
        <f t="shared" si="116"/>
        <v>Clean</v>
      </c>
    </row>
    <row r="813" spans="1:30" x14ac:dyDescent="0.3">
      <c r="A813" t="s">
        <v>2516</v>
      </c>
      <c r="B813" s="2">
        <v>45638</v>
      </c>
      <c r="C813" s="2">
        <v>45645</v>
      </c>
      <c r="D813" t="s">
        <v>2517</v>
      </c>
      <c r="E813" t="s">
        <v>150</v>
      </c>
      <c r="F813" t="s">
        <v>104</v>
      </c>
      <c r="G813" t="s">
        <v>34</v>
      </c>
      <c r="H813" t="s">
        <v>246</v>
      </c>
      <c r="I813" t="s">
        <v>247</v>
      </c>
      <c r="J813" t="s">
        <v>83</v>
      </c>
      <c r="K813" t="s">
        <v>84</v>
      </c>
      <c r="L813" t="s">
        <v>2518</v>
      </c>
      <c r="M813" t="s">
        <v>59</v>
      </c>
      <c r="N813">
        <v>2</v>
      </c>
      <c r="O813">
        <v>1610.75</v>
      </c>
      <c r="P813" s="3">
        <v>0.2</v>
      </c>
      <c r="Q813">
        <v>2577.1999999999998</v>
      </c>
      <c r="R813">
        <v>1475.87</v>
      </c>
      <c r="S813">
        <v>1101.33</v>
      </c>
      <c r="T813" t="s">
        <v>41</v>
      </c>
      <c r="U813" t="s">
        <v>42</v>
      </c>
      <c r="V813" s="3">
        <f t="shared" si="108"/>
        <v>0.2</v>
      </c>
      <c r="W813">
        <f t="shared" si="109"/>
        <v>2577.2000000000003</v>
      </c>
      <c r="X813">
        <f t="shared" si="110"/>
        <v>1101.3300000000004</v>
      </c>
      <c r="Y813" s="4">
        <f t="shared" si="111"/>
        <v>0.42733586838429316</v>
      </c>
      <c r="Z813">
        <f t="shared" si="112"/>
        <v>7</v>
      </c>
      <c r="AA813">
        <f t="shared" si="113"/>
        <v>12</v>
      </c>
      <c r="AB813">
        <f t="shared" si="114"/>
        <v>2024</v>
      </c>
      <c r="AC813" t="str">
        <f t="shared" si="115"/>
        <v>Unique</v>
      </c>
      <c r="AD813" t="str">
        <f t="shared" si="116"/>
        <v>Clean</v>
      </c>
    </row>
    <row r="814" spans="1:30" x14ac:dyDescent="0.3">
      <c r="A814" t="s">
        <v>2519</v>
      </c>
      <c r="B814" s="2">
        <v>45458</v>
      </c>
      <c r="C814" s="2">
        <v>45463</v>
      </c>
      <c r="D814" t="s">
        <v>2520</v>
      </c>
      <c r="E814" t="s">
        <v>141</v>
      </c>
      <c r="F814" t="s">
        <v>46</v>
      </c>
      <c r="G814" t="s">
        <v>47</v>
      </c>
      <c r="H814" t="s">
        <v>238</v>
      </c>
      <c r="I814" t="s">
        <v>239</v>
      </c>
      <c r="J814" t="s">
        <v>50</v>
      </c>
      <c r="K814" t="s">
        <v>51</v>
      </c>
      <c r="L814" t="s">
        <v>2521</v>
      </c>
      <c r="M814" t="s">
        <v>59</v>
      </c>
      <c r="N814">
        <v>8</v>
      </c>
      <c r="O814">
        <v>2228.4699999999998</v>
      </c>
      <c r="P814" s="3">
        <v>0</v>
      </c>
      <c r="Q814">
        <v>17827.759999999998</v>
      </c>
      <c r="R814">
        <v>14122.13</v>
      </c>
      <c r="S814">
        <v>3705.63</v>
      </c>
      <c r="T814" t="s">
        <v>41</v>
      </c>
      <c r="U814" t="s">
        <v>42</v>
      </c>
      <c r="V814" s="3">
        <f t="shared" si="108"/>
        <v>0</v>
      </c>
      <c r="W814">
        <f t="shared" si="109"/>
        <v>17827.759999999998</v>
      </c>
      <c r="X814">
        <f t="shared" si="110"/>
        <v>3705.6299999999992</v>
      </c>
      <c r="Y814" s="4">
        <f t="shared" si="111"/>
        <v>0.20785729671029896</v>
      </c>
      <c r="Z814">
        <f t="shared" si="112"/>
        <v>5</v>
      </c>
      <c r="AA814">
        <f t="shared" si="113"/>
        <v>6</v>
      </c>
      <c r="AB814">
        <f t="shared" si="114"/>
        <v>2024</v>
      </c>
      <c r="AC814" t="str">
        <f t="shared" si="115"/>
        <v>Unique</v>
      </c>
      <c r="AD814" t="str">
        <f t="shared" si="116"/>
        <v>Clean</v>
      </c>
    </row>
    <row r="815" spans="1:30" x14ac:dyDescent="0.3">
      <c r="A815" t="s">
        <v>2522</v>
      </c>
      <c r="B815" s="2">
        <v>45753</v>
      </c>
      <c r="C815" s="2">
        <v>45757</v>
      </c>
      <c r="D815" t="s">
        <v>2523</v>
      </c>
      <c r="E815" t="s">
        <v>150</v>
      </c>
      <c r="F815" t="s">
        <v>33</v>
      </c>
      <c r="G815" t="s">
        <v>47</v>
      </c>
      <c r="H815" t="s">
        <v>48</v>
      </c>
      <c r="I815" t="s">
        <v>49</v>
      </c>
      <c r="J815" t="s">
        <v>50</v>
      </c>
      <c r="K815" t="s">
        <v>167</v>
      </c>
      <c r="L815" t="s">
        <v>1133</v>
      </c>
      <c r="M815" t="s">
        <v>68</v>
      </c>
      <c r="N815">
        <v>2</v>
      </c>
      <c r="O815">
        <v>1337.67</v>
      </c>
      <c r="P815" s="3">
        <v>0</v>
      </c>
      <c r="Q815">
        <v>2675.34</v>
      </c>
      <c r="R815">
        <v>1595.87</v>
      </c>
      <c r="S815">
        <v>1079.47</v>
      </c>
      <c r="T815" t="s">
        <v>41</v>
      </c>
      <c r="U815" t="s">
        <v>42</v>
      </c>
      <c r="V815" s="3">
        <f t="shared" si="108"/>
        <v>0</v>
      </c>
      <c r="W815">
        <f t="shared" si="109"/>
        <v>2675.34</v>
      </c>
      <c r="X815">
        <f t="shared" si="110"/>
        <v>1079.4700000000003</v>
      </c>
      <c r="Y815" s="4">
        <f t="shared" si="111"/>
        <v>0.40348890234512258</v>
      </c>
      <c r="Z815">
        <f t="shared" si="112"/>
        <v>4</v>
      </c>
      <c r="AA815">
        <f t="shared" si="113"/>
        <v>4</v>
      </c>
      <c r="AB815">
        <f t="shared" si="114"/>
        <v>2025</v>
      </c>
      <c r="AC815" t="str">
        <f t="shared" si="115"/>
        <v>Unique</v>
      </c>
      <c r="AD815" t="str">
        <f t="shared" si="116"/>
        <v>Clean</v>
      </c>
    </row>
    <row r="816" spans="1:30" x14ac:dyDescent="0.3">
      <c r="A816" t="s">
        <v>2524</v>
      </c>
      <c r="B816" s="2">
        <v>45875</v>
      </c>
      <c r="C816" s="2">
        <v>45880</v>
      </c>
      <c r="D816" t="s">
        <v>2525</v>
      </c>
      <c r="E816" t="s">
        <v>62</v>
      </c>
      <c r="F816" t="s">
        <v>33</v>
      </c>
      <c r="G816" t="s">
        <v>72</v>
      </c>
      <c r="H816" t="s">
        <v>81</v>
      </c>
      <c r="I816" t="s">
        <v>82</v>
      </c>
      <c r="J816" t="s">
        <v>37</v>
      </c>
      <c r="K816" t="s">
        <v>100</v>
      </c>
      <c r="L816" t="s">
        <v>2526</v>
      </c>
      <c r="M816" t="s">
        <v>59</v>
      </c>
      <c r="N816">
        <v>2</v>
      </c>
      <c r="O816">
        <v>2375.94</v>
      </c>
      <c r="P816" s="3">
        <v>0.25</v>
      </c>
      <c r="Q816">
        <v>3563.91</v>
      </c>
      <c r="R816">
        <v>2639.7</v>
      </c>
      <c r="S816">
        <v>924.21</v>
      </c>
      <c r="T816" t="s">
        <v>41</v>
      </c>
      <c r="U816" t="s">
        <v>42</v>
      </c>
      <c r="V816" s="3">
        <f t="shared" si="108"/>
        <v>0.25</v>
      </c>
      <c r="W816">
        <f t="shared" si="109"/>
        <v>3563.91</v>
      </c>
      <c r="X816">
        <f t="shared" si="110"/>
        <v>924.21</v>
      </c>
      <c r="Y816" s="4">
        <f t="shared" si="111"/>
        <v>0.25932473042248544</v>
      </c>
      <c r="Z816">
        <f t="shared" si="112"/>
        <v>5</v>
      </c>
      <c r="AA816">
        <f t="shared" si="113"/>
        <v>8</v>
      </c>
      <c r="AB816">
        <f t="shared" si="114"/>
        <v>2025</v>
      </c>
      <c r="AC816" t="str">
        <f t="shared" si="115"/>
        <v>Unique</v>
      </c>
      <c r="AD816" t="str">
        <f t="shared" si="116"/>
        <v>Clean</v>
      </c>
    </row>
    <row r="817" spans="1:30" x14ac:dyDescent="0.3">
      <c r="A817" t="s">
        <v>2527</v>
      </c>
      <c r="B817" s="2">
        <v>45383</v>
      </c>
      <c r="C817" s="2">
        <v>45390</v>
      </c>
      <c r="D817" t="s">
        <v>2528</v>
      </c>
      <c r="E817" t="s">
        <v>171</v>
      </c>
      <c r="F817" t="s">
        <v>33</v>
      </c>
      <c r="G817" t="s">
        <v>47</v>
      </c>
      <c r="H817" t="s">
        <v>48</v>
      </c>
      <c r="I817" t="s">
        <v>49</v>
      </c>
      <c r="J817" t="s">
        <v>83</v>
      </c>
      <c r="K817" t="s">
        <v>284</v>
      </c>
      <c r="L817" t="s">
        <v>2529</v>
      </c>
      <c r="M817" t="s">
        <v>68</v>
      </c>
      <c r="N817">
        <v>7</v>
      </c>
      <c r="O817">
        <v>715.81</v>
      </c>
      <c r="P817" s="3">
        <v>0.15</v>
      </c>
      <c r="Q817">
        <v>4259.07</v>
      </c>
      <c r="R817">
        <v>3130.32</v>
      </c>
      <c r="S817">
        <v>1128.75</v>
      </c>
      <c r="T817" t="s">
        <v>120</v>
      </c>
      <c r="U817" t="s">
        <v>77</v>
      </c>
      <c r="V817" s="3">
        <f t="shared" si="108"/>
        <v>0.15</v>
      </c>
      <c r="W817">
        <f t="shared" si="109"/>
        <v>4259.0694999999996</v>
      </c>
      <c r="X817">
        <f t="shared" si="110"/>
        <v>1128.7494999999994</v>
      </c>
      <c r="Y817" s="4">
        <f t="shared" si="111"/>
        <v>0.26502255950507486</v>
      </c>
      <c r="Z817">
        <f t="shared" si="112"/>
        <v>7</v>
      </c>
      <c r="AA817">
        <f t="shared" si="113"/>
        <v>4</v>
      </c>
      <c r="AB817">
        <f t="shared" si="114"/>
        <v>2024</v>
      </c>
      <c r="AC817" t="str">
        <f t="shared" si="115"/>
        <v>Unique</v>
      </c>
      <c r="AD817" t="str">
        <f t="shared" si="116"/>
        <v>Warning</v>
      </c>
    </row>
    <row r="818" spans="1:30" x14ac:dyDescent="0.3">
      <c r="A818" t="s">
        <v>2530</v>
      </c>
      <c r="B818" s="2">
        <v>45623</v>
      </c>
      <c r="C818" s="2">
        <v>45626</v>
      </c>
      <c r="D818" t="s">
        <v>2531</v>
      </c>
      <c r="E818" t="s">
        <v>127</v>
      </c>
      <c r="F818" t="s">
        <v>46</v>
      </c>
      <c r="G818" t="s">
        <v>47</v>
      </c>
      <c r="H818" t="s">
        <v>238</v>
      </c>
      <c r="I818" t="s">
        <v>239</v>
      </c>
      <c r="J818" t="s">
        <v>50</v>
      </c>
      <c r="K818" t="s">
        <v>66</v>
      </c>
      <c r="L818" t="s">
        <v>2532</v>
      </c>
      <c r="M818" t="s">
        <v>59</v>
      </c>
      <c r="N818">
        <v>1</v>
      </c>
      <c r="O818">
        <v>874.3</v>
      </c>
      <c r="P818" s="3">
        <v>0.1</v>
      </c>
      <c r="Q818">
        <v>786.87</v>
      </c>
      <c r="R818">
        <v>498.5</v>
      </c>
      <c r="S818">
        <v>288.37</v>
      </c>
      <c r="T818" t="s">
        <v>41</v>
      </c>
      <c r="U818" t="s">
        <v>42</v>
      </c>
      <c r="V818" s="3">
        <f t="shared" si="108"/>
        <v>0.1</v>
      </c>
      <c r="W818">
        <f t="shared" si="109"/>
        <v>786.87</v>
      </c>
      <c r="X818">
        <f t="shared" si="110"/>
        <v>288.37</v>
      </c>
      <c r="Y818" s="4">
        <f t="shared" si="111"/>
        <v>0.36647730883119195</v>
      </c>
      <c r="Z818">
        <f t="shared" si="112"/>
        <v>3</v>
      </c>
      <c r="AA818">
        <f t="shared" si="113"/>
        <v>11</v>
      </c>
      <c r="AB818">
        <f t="shared" si="114"/>
        <v>2024</v>
      </c>
      <c r="AC818" t="str">
        <f t="shared" si="115"/>
        <v>Unique</v>
      </c>
      <c r="AD818" t="str">
        <f t="shared" si="116"/>
        <v>Clean</v>
      </c>
    </row>
    <row r="819" spans="1:30" x14ac:dyDescent="0.3">
      <c r="A819" t="s">
        <v>2533</v>
      </c>
      <c r="B819" s="2">
        <v>45752</v>
      </c>
      <c r="C819" s="2">
        <v>45752</v>
      </c>
      <c r="D819" t="s">
        <v>2534</v>
      </c>
      <c r="E819" t="s">
        <v>141</v>
      </c>
      <c r="F819" t="s">
        <v>33</v>
      </c>
      <c r="G819" t="s">
        <v>47</v>
      </c>
      <c r="H819" t="s">
        <v>154</v>
      </c>
      <c r="I819" t="s">
        <v>155</v>
      </c>
      <c r="J819" t="s">
        <v>37</v>
      </c>
      <c r="K819" t="s">
        <v>162</v>
      </c>
      <c r="L819" t="s">
        <v>2535</v>
      </c>
      <c r="M819" t="s">
        <v>68</v>
      </c>
      <c r="N819">
        <v>6</v>
      </c>
      <c r="O819">
        <v>1829.69</v>
      </c>
      <c r="P819" s="3">
        <v>0.25</v>
      </c>
      <c r="Q819">
        <v>8233.6</v>
      </c>
      <c r="R819">
        <v>4713.79</v>
      </c>
      <c r="S819">
        <v>3519.81</v>
      </c>
      <c r="T819" t="s">
        <v>41</v>
      </c>
      <c r="U819" t="s">
        <v>42</v>
      </c>
      <c r="V819" s="3">
        <f t="shared" si="108"/>
        <v>0.25</v>
      </c>
      <c r="W819">
        <f t="shared" si="109"/>
        <v>8233.6049999999996</v>
      </c>
      <c r="X819">
        <f t="shared" si="110"/>
        <v>3519.8149999999996</v>
      </c>
      <c r="Y819" s="4">
        <f t="shared" si="111"/>
        <v>0.42749378917254349</v>
      </c>
      <c r="Z819">
        <f t="shared" si="112"/>
        <v>0</v>
      </c>
      <c r="AA819">
        <f t="shared" si="113"/>
        <v>4</v>
      </c>
      <c r="AB819">
        <f t="shared" si="114"/>
        <v>2025</v>
      </c>
      <c r="AC819" t="str">
        <f t="shared" si="115"/>
        <v>Unique</v>
      </c>
      <c r="AD819" t="str">
        <f t="shared" si="116"/>
        <v>Clean</v>
      </c>
    </row>
    <row r="820" spans="1:30" x14ac:dyDescent="0.3">
      <c r="A820" t="s">
        <v>2536</v>
      </c>
      <c r="B820" s="2">
        <v>45564</v>
      </c>
      <c r="C820" s="2">
        <v>45570</v>
      </c>
      <c r="D820" t="s">
        <v>2537</v>
      </c>
      <c r="E820" t="s">
        <v>123</v>
      </c>
      <c r="F820" t="s">
        <v>46</v>
      </c>
      <c r="G820" t="s">
        <v>72</v>
      </c>
      <c r="H820" t="s">
        <v>73</v>
      </c>
      <c r="I820" t="s">
        <v>74</v>
      </c>
      <c r="J820" t="s">
        <v>37</v>
      </c>
      <c r="K820" t="s">
        <v>100</v>
      </c>
      <c r="L820" t="s">
        <v>2538</v>
      </c>
      <c r="M820" t="s">
        <v>59</v>
      </c>
      <c r="N820">
        <v>8</v>
      </c>
      <c r="O820">
        <v>1981.04</v>
      </c>
      <c r="P820" s="3">
        <v>-0.14000000000000001</v>
      </c>
      <c r="Q820">
        <v>12678.66</v>
      </c>
      <c r="R820">
        <v>10088.65</v>
      </c>
      <c r="S820">
        <v>2590.0100000000002</v>
      </c>
      <c r="T820" t="s">
        <v>41</v>
      </c>
      <c r="U820" t="s">
        <v>42</v>
      </c>
      <c r="V820" s="3">
        <f t="shared" si="108"/>
        <v>0.14000000000000001</v>
      </c>
      <c r="W820">
        <f t="shared" si="109"/>
        <v>13629.555199999999</v>
      </c>
      <c r="X820">
        <f t="shared" si="110"/>
        <v>3540.9051999999992</v>
      </c>
      <c r="Y820" s="4">
        <f t="shared" si="111"/>
        <v>0.25979609371258128</v>
      </c>
      <c r="Z820">
        <f t="shared" si="112"/>
        <v>6</v>
      </c>
      <c r="AA820">
        <f t="shared" si="113"/>
        <v>9</v>
      </c>
      <c r="AB820">
        <f t="shared" si="114"/>
        <v>2024</v>
      </c>
      <c r="AC820" t="str">
        <f t="shared" si="115"/>
        <v>Unique</v>
      </c>
      <c r="AD820" t="str">
        <f t="shared" si="116"/>
        <v>Invalid</v>
      </c>
    </row>
    <row r="821" spans="1:30" x14ac:dyDescent="0.3">
      <c r="A821" t="s">
        <v>2539</v>
      </c>
      <c r="B821" s="2">
        <v>45504</v>
      </c>
      <c r="C821" s="2">
        <v>45504</v>
      </c>
      <c r="D821" t="s">
        <v>2540</v>
      </c>
      <c r="E821" t="s">
        <v>32</v>
      </c>
      <c r="F821" t="s">
        <v>104</v>
      </c>
      <c r="G821" t="s">
        <v>63</v>
      </c>
      <c r="H821" t="s">
        <v>194</v>
      </c>
      <c r="I821" t="s">
        <v>195</v>
      </c>
      <c r="J821" t="s">
        <v>83</v>
      </c>
      <c r="K821" t="s">
        <v>284</v>
      </c>
      <c r="L821" t="s">
        <v>2541</v>
      </c>
      <c r="M821" t="s">
        <v>68</v>
      </c>
      <c r="N821">
        <v>8</v>
      </c>
      <c r="O821">
        <v>4246.01</v>
      </c>
      <c r="P821" s="3">
        <v>0</v>
      </c>
      <c r="Q821">
        <v>33968.080000000002</v>
      </c>
      <c r="R821">
        <v>26902.44</v>
      </c>
      <c r="S821">
        <v>7065.64</v>
      </c>
      <c r="T821" t="s">
        <v>164</v>
      </c>
      <c r="U821" t="s">
        <v>77</v>
      </c>
      <c r="V821" s="3">
        <f t="shared" si="108"/>
        <v>0</v>
      </c>
      <c r="W821">
        <f t="shared" si="109"/>
        <v>33968.080000000002</v>
      </c>
      <c r="X821">
        <f t="shared" si="110"/>
        <v>7065.6400000000031</v>
      </c>
      <c r="Y821" s="4">
        <f t="shared" si="111"/>
        <v>0.20800822419165294</v>
      </c>
      <c r="Z821">
        <f t="shared" si="112"/>
        <v>0</v>
      </c>
      <c r="AA821">
        <f t="shared" si="113"/>
        <v>7</v>
      </c>
      <c r="AB821">
        <f t="shared" si="114"/>
        <v>2024</v>
      </c>
      <c r="AC821" t="str">
        <f t="shared" si="115"/>
        <v>Unique</v>
      </c>
      <c r="AD821" t="str">
        <f t="shared" si="116"/>
        <v>Warning</v>
      </c>
    </row>
    <row r="822" spans="1:30" x14ac:dyDescent="0.3">
      <c r="A822" t="s">
        <v>2542</v>
      </c>
      <c r="B822" s="2">
        <v>45694</v>
      </c>
      <c r="C822" s="2">
        <v>45698</v>
      </c>
      <c r="D822" t="s">
        <v>2543</v>
      </c>
      <c r="E822" t="s">
        <v>71</v>
      </c>
      <c r="F822" t="s">
        <v>104</v>
      </c>
      <c r="G822" t="s">
        <v>34</v>
      </c>
      <c r="H822" t="s">
        <v>145</v>
      </c>
      <c r="I822" t="s">
        <v>146</v>
      </c>
      <c r="J822" t="s">
        <v>50</v>
      </c>
      <c r="K822" t="s">
        <v>167</v>
      </c>
      <c r="L822" t="s">
        <v>2544</v>
      </c>
      <c r="M822" t="s">
        <v>68</v>
      </c>
      <c r="N822">
        <v>2</v>
      </c>
      <c r="O822">
        <v>319.57</v>
      </c>
      <c r="P822" s="3">
        <v>0.2</v>
      </c>
      <c r="Q822">
        <v>511.31</v>
      </c>
      <c r="R822">
        <v>436.43</v>
      </c>
      <c r="S822">
        <v>74.88</v>
      </c>
      <c r="T822" t="s">
        <v>41</v>
      </c>
      <c r="U822" t="s">
        <v>42</v>
      </c>
      <c r="V822" s="3">
        <f t="shared" si="108"/>
        <v>0.2</v>
      </c>
      <c r="W822">
        <f t="shared" si="109"/>
        <v>511.31200000000001</v>
      </c>
      <c r="X822">
        <f t="shared" si="110"/>
        <v>74.882000000000005</v>
      </c>
      <c r="Y822" s="4">
        <f t="shared" si="111"/>
        <v>0.14645069937728825</v>
      </c>
      <c r="Z822">
        <f t="shared" si="112"/>
        <v>4</v>
      </c>
      <c r="AA822">
        <f t="shared" si="113"/>
        <v>2</v>
      </c>
      <c r="AB822">
        <f t="shared" si="114"/>
        <v>2025</v>
      </c>
      <c r="AC822" t="str">
        <f t="shared" si="115"/>
        <v>Unique</v>
      </c>
      <c r="AD822" t="str">
        <f t="shared" si="116"/>
        <v>Clean</v>
      </c>
    </row>
    <row r="823" spans="1:30" x14ac:dyDescent="0.3">
      <c r="A823" t="s">
        <v>2545</v>
      </c>
      <c r="B823" s="2">
        <v>45476</v>
      </c>
      <c r="C823" s="2">
        <v>45479</v>
      </c>
      <c r="D823" t="s">
        <v>2546</v>
      </c>
      <c r="E823" t="s">
        <v>137</v>
      </c>
      <c r="F823" t="s">
        <v>99</v>
      </c>
      <c r="G823" t="s">
        <v>63</v>
      </c>
      <c r="H823" t="s">
        <v>184</v>
      </c>
      <c r="I823" t="s">
        <v>185</v>
      </c>
      <c r="J823" t="s">
        <v>83</v>
      </c>
      <c r="K823" t="s">
        <v>84</v>
      </c>
      <c r="L823" t="s">
        <v>2547</v>
      </c>
      <c r="M823" t="s">
        <v>59</v>
      </c>
      <c r="N823">
        <v>7</v>
      </c>
      <c r="O823">
        <v>1942.49</v>
      </c>
      <c r="P823" s="3">
        <v>0.2</v>
      </c>
      <c r="Q823">
        <v>10877.94</v>
      </c>
      <c r="R823">
        <v>9110.14</v>
      </c>
      <c r="S823">
        <v>1767.8</v>
      </c>
      <c r="T823" t="s">
        <v>41</v>
      </c>
      <c r="U823" t="s">
        <v>42</v>
      </c>
      <c r="V823" s="3">
        <f t="shared" si="108"/>
        <v>0.2</v>
      </c>
      <c r="W823">
        <f t="shared" si="109"/>
        <v>10877.944000000001</v>
      </c>
      <c r="X823">
        <f t="shared" si="110"/>
        <v>1767.8040000000019</v>
      </c>
      <c r="Y823" s="4">
        <f t="shared" si="111"/>
        <v>0.16251269541376584</v>
      </c>
      <c r="Z823">
        <f t="shared" si="112"/>
        <v>3</v>
      </c>
      <c r="AA823">
        <f t="shared" si="113"/>
        <v>7</v>
      </c>
      <c r="AB823">
        <f t="shared" si="114"/>
        <v>2024</v>
      </c>
      <c r="AC823" t="str">
        <f t="shared" si="115"/>
        <v>Unique</v>
      </c>
      <c r="AD823" t="str">
        <f t="shared" si="116"/>
        <v>Clean</v>
      </c>
    </row>
    <row r="824" spans="1:30" x14ac:dyDescent="0.3">
      <c r="A824" t="s">
        <v>2548</v>
      </c>
      <c r="B824" s="2">
        <v>45577</v>
      </c>
      <c r="C824" s="2">
        <v>45573</v>
      </c>
      <c r="D824" t="s">
        <v>2549</v>
      </c>
      <c r="E824" t="s">
        <v>45</v>
      </c>
      <c r="F824" t="s">
        <v>99</v>
      </c>
      <c r="G824" t="s">
        <v>47</v>
      </c>
      <c r="H824" t="s">
        <v>175</v>
      </c>
      <c r="I824" t="s">
        <v>176</v>
      </c>
      <c r="J824" t="s">
        <v>50</v>
      </c>
      <c r="K824" t="s">
        <v>66</v>
      </c>
      <c r="L824" t="s">
        <v>2550</v>
      </c>
      <c r="M824" t="s">
        <v>40</v>
      </c>
      <c r="N824">
        <v>4</v>
      </c>
      <c r="O824">
        <v>3202.04</v>
      </c>
      <c r="P824" s="3">
        <v>0.2</v>
      </c>
      <c r="Q824">
        <v>10246.530000000001</v>
      </c>
      <c r="R824">
        <v>8634.42</v>
      </c>
      <c r="S824">
        <v>1612.11</v>
      </c>
      <c r="T824" t="s">
        <v>120</v>
      </c>
      <c r="U824" t="s">
        <v>112</v>
      </c>
      <c r="V824" s="3">
        <f t="shared" si="108"/>
        <v>0.2</v>
      </c>
      <c r="W824">
        <f t="shared" si="109"/>
        <v>10246.528</v>
      </c>
      <c r="X824">
        <f t="shared" si="110"/>
        <v>1612.1080000000002</v>
      </c>
      <c r="Y824" s="4">
        <f t="shared" si="111"/>
        <v>0.15733212264681268</v>
      </c>
      <c r="Z824">
        <f t="shared" si="112"/>
        <v>-4</v>
      </c>
      <c r="AA824">
        <f t="shared" si="113"/>
        <v>10</v>
      </c>
      <c r="AB824">
        <f t="shared" si="114"/>
        <v>2024</v>
      </c>
      <c r="AC824" t="str">
        <f t="shared" si="115"/>
        <v>Unique</v>
      </c>
      <c r="AD824" t="str">
        <f t="shared" si="116"/>
        <v>Invalid</v>
      </c>
    </row>
    <row r="825" spans="1:30" x14ac:dyDescent="0.3">
      <c r="A825" t="s">
        <v>2551</v>
      </c>
      <c r="B825" s="2">
        <v>45663</v>
      </c>
      <c r="C825" s="2">
        <v>45669</v>
      </c>
      <c r="D825" t="s">
        <v>2552</v>
      </c>
      <c r="E825" t="s">
        <v>45</v>
      </c>
      <c r="F825" t="s">
        <v>104</v>
      </c>
      <c r="G825" t="s">
        <v>72</v>
      </c>
      <c r="H825" t="s">
        <v>199</v>
      </c>
      <c r="I825" t="s">
        <v>200</v>
      </c>
      <c r="J825" t="s">
        <v>37</v>
      </c>
      <c r="K825" t="s">
        <v>38</v>
      </c>
      <c r="L825" t="s">
        <v>2553</v>
      </c>
      <c r="M825" t="s">
        <v>53</v>
      </c>
      <c r="N825">
        <v>3</v>
      </c>
      <c r="O825">
        <v>668.33</v>
      </c>
      <c r="P825" s="3">
        <v>0.15</v>
      </c>
      <c r="Q825">
        <v>1704.24</v>
      </c>
      <c r="R825">
        <v>957.55</v>
      </c>
      <c r="S825">
        <v>746.69</v>
      </c>
      <c r="T825" t="s">
        <v>41</v>
      </c>
      <c r="U825" t="s">
        <v>42</v>
      </c>
      <c r="V825" s="3">
        <f t="shared" si="108"/>
        <v>0.15</v>
      </c>
      <c r="W825">
        <f t="shared" si="109"/>
        <v>1704.2415000000001</v>
      </c>
      <c r="X825">
        <f t="shared" si="110"/>
        <v>746.69150000000013</v>
      </c>
      <c r="Y825" s="4">
        <f t="shared" si="111"/>
        <v>0.43813714194848563</v>
      </c>
      <c r="Z825">
        <f t="shared" si="112"/>
        <v>6</v>
      </c>
      <c r="AA825">
        <f t="shared" si="113"/>
        <v>1</v>
      </c>
      <c r="AB825">
        <f t="shared" si="114"/>
        <v>2025</v>
      </c>
      <c r="AC825" t="str">
        <f t="shared" si="115"/>
        <v>Unique</v>
      </c>
      <c r="AD825" t="str">
        <f t="shared" si="116"/>
        <v>Clean</v>
      </c>
    </row>
    <row r="826" spans="1:30" x14ac:dyDescent="0.3">
      <c r="A826" t="s">
        <v>2554</v>
      </c>
      <c r="B826" s="2">
        <v>45737</v>
      </c>
      <c r="C826" s="2">
        <v>45738</v>
      </c>
      <c r="D826" t="s">
        <v>2555</v>
      </c>
      <c r="E826" t="s">
        <v>123</v>
      </c>
      <c r="F826" t="s">
        <v>33</v>
      </c>
      <c r="G826" t="s">
        <v>72</v>
      </c>
      <c r="H826" t="s">
        <v>199</v>
      </c>
      <c r="I826" t="s">
        <v>200</v>
      </c>
      <c r="J826" t="s">
        <v>37</v>
      </c>
      <c r="K826" t="s">
        <v>38</v>
      </c>
      <c r="L826" t="s">
        <v>2556</v>
      </c>
      <c r="M826" t="s">
        <v>59</v>
      </c>
      <c r="N826">
        <v>8</v>
      </c>
      <c r="O826">
        <v>4436.74</v>
      </c>
      <c r="P826" s="3">
        <v>0.05</v>
      </c>
      <c r="Q826">
        <v>33719.22</v>
      </c>
      <c r="R826">
        <v>28924.43</v>
      </c>
      <c r="S826">
        <v>4794.79</v>
      </c>
      <c r="T826" t="s">
        <v>41</v>
      </c>
      <c r="U826" t="s">
        <v>42</v>
      </c>
      <c r="V826" s="3">
        <f t="shared" si="108"/>
        <v>0.05</v>
      </c>
      <c r="W826">
        <f t="shared" si="109"/>
        <v>33719.223999999995</v>
      </c>
      <c r="X826">
        <f t="shared" si="110"/>
        <v>4794.7939999999944</v>
      </c>
      <c r="Y826" s="4">
        <f t="shared" si="111"/>
        <v>0.14219763776295669</v>
      </c>
      <c r="Z826">
        <f t="shared" si="112"/>
        <v>1</v>
      </c>
      <c r="AA826">
        <f t="shared" si="113"/>
        <v>3</v>
      </c>
      <c r="AB826">
        <f t="shared" si="114"/>
        <v>2025</v>
      </c>
      <c r="AC826" t="str">
        <f t="shared" si="115"/>
        <v>Unique</v>
      </c>
      <c r="AD826" t="str">
        <f t="shared" si="116"/>
        <v>Clean</v>
      </c>
    </row>
    <row r="827" spans="1:30" x14ac:dyDescent="0.3">
      <c r="A827" t="s">
        <v>2557</v>
      </c>
      <c r="B827" s="2">
        <v>45763</v>
      </c>
      <c r="C827" s="2">
        <v>45764</v>
      </c>
      <c r="D827" t="s">
        <v>2558</v>
      </c>
      <c r="E827" t="s">
        <v>80</v>
      </c>
      <c r="F827" t="s">
        <v>46</v>
      </c>
      <c r="G827" t="s">
        <v>34</v>
      </c>
      <c r="H827" t="s">
        <v>145</v>
      </c>
      <c r="I827" t="s">
        <v>146</v>
      </c>
      <c r="J827" t="s">
        <v>83</v>
      </c>
      <c r="K827" t="s">
        <v>284</v>
      </c>
      <c r="L827" t="s">
        <v>2559</v>
      </c>
      <c r="M827" t="s">
        <v>59</v>
      </c>
      <c r="N827">
        <v>1</v>
      </c>
      <c r="O827">
        <v>2720.17</v>
      </c>
      <c r="P827" s="3">
        <v>0</v>
      </c>
      <c r="Q827">
        <v>2720.17</v>
      </c>
      <c r="R827">
        <v>1834.23</v>
      </c>
      <c r="S827">
        <v>885.94</v>
      </c>
      <c r="T827" t="s">
        <v>41</v>
      </c>
      <c r="U827" t="s">
        <v>42</v>
      </c>
      <c r="V827" s="3">
        <f t="shared" si="108"/>
        <v>0</v>
      </c>
      <c r="W827">
        <f t="shared" si="109"/>
        <v>2720.17</v>
      </c>
      <c r="X827">
        <f t="shared" si="110"/>
        <v>885.94</v>
      </c>
      <c r="Y827" s="4">
        <f t="shared" si="111"/>
        <v>0.3256928794891496</v>
      </c>
      <c r="Z827">
        <f t="shared" si="112"/>
        <v>1</v>
      </c>
      <c r="AA827">
        <f t="shared" si="113"/>
        <v>4</v>
      </c>
      <c r="AB827">
        <f t="shared" si="114"/>
        <v>2025</v>
      </c>
      <c r="AC827" t="str">
        <f t="shared" si="115"/>
        <v>Unique</v>
      </c>
      <c r="AD827" t="str">
        <f t="shared" si="116"/>
        <v>Clean</v>
      </c>
    </row>
    <row r="828" spans="1:30" x14ac:dyDescent="0.3">
      <c r="A828" t="s">
        <v>2560</v>
      </c>
      <c r="B828" s="2">
        <v>45879</v>
      </c>
      <c r="C828" s="2">
        <v>45883</v>
      </c>
      <c r="D828" t="s">
        <v>2561</v>
      </c>
      <c r="E828" t="s">
        <v>98</v>
      </c>
      <c r="F828" t="s">
        <v>33</v>
      </c>
      <c r="G828" t="s">
        <v>72</v>
      </c>
      <c r="H828" t="s">
        <v>35</v>
      </c>
      <c r="I828" t="s">
        <v>118</v>
      </c>
      <c r="J828" t="s">
        <v>83</v>
      </c>
      <c r="K828" t="s">
        <v>84</v>
      </c>
      <c r="L828" t="s">
        <v>2562</v>
      </c>
      <c r="M828" t="s">
        <v>68</v>
      </c>
      <c r="N828">
        <v>5</v>
      </c>
      <c r="O828">
        <v>2190.14</v>
      </c>
      <c r="P828" s="3">
        <v>0.25</v>
      </c>
      <c r="Q828">
        <v>8213.02</v>
      </c>
      <c r="R828">
        <v>5569.3</v>
      </c>
      <c r="S828">
        <v>2643.72</v>
      </c>
      <c r="T828" t="s">
        <v>41</v>
      </c>
      <c r="U828" t="s">
        <v>42</v>
      </c>
      <c r="V828" s="3">
        <f t="shared" si="108"/>
        <v>0.25</v>
      </c>
      <c r="W828">
        <f t="shared" si="109"/>
        <v>8213.0249999999996</v>
      </c>
      <c r="X828">
        <f t="shared" si="110"/>
        <v>2643.7249999999995</v>
      </c>
      <c r="Y828" s="4">
        <f t="shared" si="111"/>
        <v>0.32189418636860345</v>
      </c>
      <c r="Z828">
        <f t="shared" si="112"/>
        <v>4</v>
      </c>
      <c r="AA828">
        <f t="shared" si="113"/>
        <v>8</v>
      </c>
      <c r="AB828">
        <f t="shared" si="114"/>
        <v>2025</v>
      </c>
      <c r="AC828" t="str">
        <f t="shared" si="115"/>
        <v>Unique</v>
      </c>
      <c r="AD828" t="str">
        <f t="shared" si="116"/>
        <v>Clean</v>
      </c>
    </row>
    <row r="829" spans="1:30" x14ac:dyDescent="0.3">
      <c r="A829" t="s">
        <v>2563</v>
      </c>
      <c r="B829" s="2">
        <v>45620</v>
      </c>
      <c r="C829" s="2">
        <v>45627</v>
      </c>
      <c r="D829" t="s">
        <v>2564</v>
      </c>
      <c r="E829" t="s">
        <v>123</v>
      </c>
      <c r="F829" t="s">
        <v>104</v>
      </c>
      <c r="G829" t="s">
        <v>63</v>
      </c>
      <c r="H829" t="s">
        <v>257</v>
      </c>
      <c r="I829" t="s">
        <v>258</v>
      </c>
      <c r="J829" t="s">
        <v>37</v>
      </c>
      <c r="K829" t="s">
        <v>38</v>
      </c>
      <c r="L829" t="s">
        <v>2565</v>
      </c>
      <c r="M829" t="s">
        <v>53</v>
      </c>
      <c r="N829">
        <v>1</v>
      </c>
      <c r="O829">
        <v>844.89</v>
      </c>
      <c r="P829" s="3">
        <v>0.25</v>
      </c>
      <c r="Q829">
        <v>633.66999999999996</v>
      </c>
      <c r="R829">
        <v>520.47</v>
      </c>
      <c r="S829">
        <v>113.2</v>
      </c>
      <c r="T829" t="s">
        <v>41</v>
      </c>
      <c r="U829" t="s">
        <v>77</v>
      </c>
      <c r="V829" s="3">
        <f t="shared" si="108"/>
        <v>0.25</v>
      </c>
      <c r="W829">
        <f t="shared" si="109"/>
        <v>633.66750000000002</v>
      </c>
      <c r="X829">
        <f t="shared" si="110"/>
        <v>113.19749999999999</v>
      </c>
      <c r="Y829" s="4">
        <f t="shared" si="111"/>
        <v>0.17863863934950111</v>
      </c>
      <c r="Z829">
        <f t="shared" si="112"/>
        <v>7</v>
      </c>
      <c r="AA829">
        <f t="shared" si="113"/>
        <v>11</v>
      </c>
      <c r="AB829">
        <f t="shared" si="114"/>
        <v>2024</v>
      </c>
      <c r="AC829" t="str">
        <f t="shared" si="115"/>
        <v>Unique</v>
      </c>
      <c r="AD829" t="str">
        <f t="shared" si="116"/>
        <v>Warning</v>
      </c>
    </row>
    <row r="830" spans="1:30" x14ac:dyDescent="0.3">
      <c r="A830" t="s">
        <v>2566</v>
      </c>
      <c r="B830" s="2">
        <v>45940</v>
      </c>
      <c r="C830" s="2">
        <v>45941</v>
      </c>
      <c r="D830" t="s">
        <v>2567</v>
      </c>
      <c r="E830" t="s">
        <v>32</v>
      </c>
      <c r="F830" t="s">
        <v>99</v>
      </c>
      <c r="G830" t="s">
        <v>47</v>
      </c>
      <c r="H830" t="s">
        <v>48</v>
      </c>
      <c r="I830" t="s">
        <v>49</v>
      </c>
      <c r="J830" t="s">
        <v>50</v>
      </c>
      <c r="K830" t="s">
        <v>75</v>
      </c>
      <c r="L830" t="s">
        <v>2568</v>
      </c>
      <c r="M830" t="s">
        <v>40</v>
      </c>
      <c r="N830">
        <v>7</v>
      </c>
      <c r="O830">
        <v>3791.96</v>
      </c>
      <c r="P830" s="3">
        <v>0.05</v>
      </c>
      <c r="Q830">
        <v>25216.53</v>
      </c>
      <c r="R830">
        <v>14216.94</v>
      </c>
      <c r="S830">
        <v>10999.59</v>
      </c>
      <c r="T830" t="s">
        <v>164</v>
      </c>
      <c r="U830" t="s">
        <v>77</v>
      </c>
      <c r="V830" s="3">
        <f t="shared" si="108"/>
        <v>0.05</v>
      </c>
      <c r="W830">
        <f t="shared" si="109"/>
        <v>25216.534</v>
      </c>
      <c r="X830">
        <f t="shared" si="110"/>
        <v>10999.593999999999</v>
      </c>
      <c r="Y830" s="4">
        <f t="shared" si="111"/>
        <v>0.4362056260388521</v>
      </c>
      <c r="Z830">
        <f t="shared" si="112"/>
        <v>1</v>
      </c>
      <c r="AA830">
        <f t="shared" si="113"/>
        <v>10</v>
      </c>
      <c r="AB830">
        <f t="shared" si="114"/>
        <v>2025</v>
      </c>
      <c r="AC830" t="str">
        <f t="shared" si="115"/>
        <v>Unique</v>
      </c>
      <c r="AD830" t="str">
        <f t="shared" si="116"/>
        <v>Warning</v>
      </c>
    </row>
    <row r="831" spans="1:30" x14ac:dyDescent="0.3">
      <c r="A831" t="s">
        <v>2569</v>
      </c>
      <c r="B831" s="2">
        <v>45348</v>
      </c>
      <c r="C831" s="2">
        <v>45350</v>
      </c>
      <c r="D831" t="s">
        <v>2570</v>
      </c>
      <c r="E831" t="s">
        <v>98</v>
      </c>
      <c r="F831" t="s">
        <v>46</v>
      </c>
      <c r="G831" t="s">
        <v>72</v>
      </c>
      <c r="H831" t="s">
        <v>199</v>
      </c>
      <c r="I831" t="s">
        <v>200</v>
      </c>
      <c r="J831" t="s">
        <v>50</v>
      </c>
      <c r="K831" t="s">
        <v>66</v>
      </c>
      <c r="L831" t="s">
        <v>2571</v>
      </c>
      <c r="M831" t="s">
        <v>40</v>
      </c>
      <c r="N831">
        <v>7</v>
      </c>
      <c r="O831">
        <v>1035.1400000000001</v>
      </c>
      <c r="P831" s="3">
        <v>0.1</v>
      </c>
      <c r="Q831">
        <v>6521.38</v>
      </c>
      <c r="R831">
        <v>4511.1000000000004</v>
      </c>
      <c r="S831">
        <v>2010.28</v>
      </c>
      <c r="T831" t="s">
        <v>41</v>
      </c>
      <c r="U831" t="s">
        <v>42</v>
      </c>
      <c r="V831" s="3">
        <f t="shared" si="108"/>
        <v>0.1</v>
      </c>
      <c r="W831">
        <f t="shared" si="109"/>
        <v>6521.3820000000005</v>
      </c>
      <c r="X831">
        <f t="shared" si="110"/>
        <v>2010.2820000000002</v>
      </c>
      <c r="Y831" s="4">
        <f t="shared" si="111"/>
        <v>0.30826012032418892</v>
      </c>
      <c r="Z831">
        <f t="shared" si="112"/>
        <v>2</v>
      </c>
      <c r="AA831">
        <f t="shared" si="113"/>
        <v>2</v>
      </c>
      <c r="AB831">
        <f t="shared" si="114"/>
        <v>2024</v>
      </c>
      <c r="AC831" t="str">
        <f t="shared" si="115"/>
        <v>Unique</v>
      </c>
      <c r="AD831" t="str">
        <f t="shared" si="116"/>
        <v>Clean</v>
      </c>
    </row>
    <row r="832" spans="1:30" x14ac:dyDescent="0.3">
      <c r="A832" t="s">
        <v>2572</v>
      </c>
      <c r="B832" s="2">
        <v>45853</v>
      </c>
      <c r="C832" s="2">
        <v>45856</v>
      </c>
      <c r="D832" t="s">
        <v>2573</v>
      </c>
      <c r="E832" t="s">
        <v>98</v>
      </c>
      <c r="F832" t="s">
        <v>46</v>
      </c>
      <c r="G832" t="s">
        <v>214</v>
      </c>
      <c r="H832" t="s">
        <v>257</v>
      </c>
      <c r="I832" t="s">
        <v>258</v>
      </c>
      <c r="J832" t="s">
        <v>83</v>
      </c>
      <c r="K832" t="s">
        <v>284</v>
      </c>
      <c r="L832" t="s">
        <v>2574</v>
      </c>
      <c r="M832" t="s">
        <v>59</v>
      </c>
      <c r="N832">
        <v>6</v>
      </c>
      <c r="O832">
        <v>2382.88</v>
      </c>
      <c r="P832" s="3">
        <v>0.1</v>
      </c>
      <c r="Q832">
        <v>12867.55</v>
      </c>
      <c r="R832">
        <v>10068.94</v>
      </c>
      <c r="S832">
        <v>2798.61</v>
      </c>
      <c r="T832" t="s">
        <v>41</v>
      </c>
      <c r="U832" t="s">
        <v>42</v>
      </c>
      <c r="V832" s="3">
        <f t="shared" si="108"/>
        <v>0.1</v>
      </c>
      <c r="W832">
        <f t="shared" si="109"/>
        <v>12867.552000000001</v>
      </c>
      <c r="X832">
        <f t="shared" si="110"/>
        <v>2798.612000000001</v>
      </c>
      <c r="Y832" s="4">
        <f t="shared" si="111"/>
        <v>0.21749373929089236</v>
      </c>
      <c r="Z832">
        <f t="shared" si="112"/>
        <v>3</v>
      </c>
      <c r="AA832">
        <f t="shared" si="113"/>
        <v>7</v>
      </c>
      <c r="AB832">
        <f t="shared" si="114"/>
        <v>2025</v>
      </c>
      <c r="AC832" t="str">
        <f t="shared" si="115"/>
        <v>Unique</v>
      </c>
      <c r="AD832" t="str">
        <f t="shared" si="116"/>
        <v>Warning</v>
      </c>
    </row>
    <row r="833" spans="1:30" x14ac:dyDescent="0.3">
      <c r="A833" t="s">
        <v>2575</v>
      </c>
      <c r="B833" s="2">
        <v>45750</v>
      </c>
      <c r="C833" s="2">
        <v>45750</v>
      </c>
      <c r="D833" t="s">
        <v>2576</v>
      </c>
      <c r="E833" t="s">
        <v>171</v>
      </c>
      <c r="F833" t="s">
        <v>104</v>
      </c>
      <c r="G833" t="s">
        <v>214</v>
      </c>
      <c r="H833" t="s">
        <v>246</v>
      </c>
      <c r="I833" t="s">
        <v>247</v>
      </c>
      <c r="J833" t="s">
        <v>50</v>
      </c>
      <c r="K833" t="s">
        <v>75</v>
      </c>
      <c r="L833" t="s">
        <v>2577</v>
      </c>
      <c r="M833" t="s">
        <v>59</v>
      </c>
      <c r="N833">
        <v>9</v>
      </c>
      <c r="O833">
        <v>3462.7</v>
      </c>
      <c r="P833" s="3">
        <v>0.15</v>
      </c>
      <c r="Q833">
        <v>26489.65</v>
      </c>
      <c r="R833">
        <v>15818.46</v>
      </c>
      <c r="S833">
        <v>10671.19</v>
      </c>
      <c r="T833" t="s">
        <v>164</v>
      </c>
      <c r="U833" t="s">
        <v>112</v>
      </c>
      <c r="V833" s="3">
        <f t="shared" si="108"/>
        <v>0.15</v>
      </c>
      <c r="W833">
        <f t="shared" si="109"/>
        <v>26489.654999999999</v>
      </c>
      <c r="X833">
        <f t="shared" si="110"/>
        <v>10671.195</v>
      </c>
      <c r="Y833" s="4">
        <f t="shared" si="111"/>
        <v>0.40284386489744772</v>
      </c>
      <c r="Z833">
        <f t="shared" si="112"/>
        <v>0</v>
      </c>
      <c r="AA833">
        <f t="shared" si="113"/>
        <v>4</v>
      </c>
      <c r="AB833">
        <f t="shared" si="114"/>
        <v>2025</v>
      </c>
      <c r="AC833" t="str">
        <f t="shared" si="115"/>
        <v>Unique</v>
      </c>
      <c r="AD833" t="str">
        <f t="shared" si="116"/>
        <v>Warning</v>
      </c>
    </row>
    <row r="834" spans="1:30" x14ac:dyDescent="0.3">
      <c r="A834" t="s">
        <v>2578</v>
      </c>
      <c r="B834" s="2">
        <v>45803</v>
      </c>
      <c r="C834" s="2">
        <v>45805</v>
      </c>
      <c r="D834" t="s">
        <v>2579</v>
      </c>
      <c r="E834" t="s">
        <v>274</v>
      </c>
      <c r="F834" t="s">
        <v>46</v>
      </c>
      <c r="G834" t="s">
        <v>63</v>
      </c>
      <c r="H834" t="s">
        <v>93</v>
      </c>
      <c r="I834" t="s">
        <v>94</v>
      </c>
      <c r="J834" t="s">
        <v>83</v>
      </c>
      <c r="K834" t="s">
        <v>180</v>
      </c>
      <c r="L834" t="s">
        <v>2580</v>
      </c>
      <c r="M834" t="s">
        <v>40</v>
      </c>
      <c r="N834">
        <v>9</v>
      </c>
      <c r="O834">
        <v>4302.0200000000004</v>
      </c>
      <c r="P834" s="3">
        <v>0.05</v>
      </c>
      <c r="Q834">
        <v>36782.269999999997</v>
      </c>
      <c r="R834">
        <v>25902.81</v>
      </c>
      <c r="S834">
        <v>10879.46</v>
      </c>
      <c r="T834" t="s">
        <v>41</v>
      </c>
      <c r="U834" t="s">
        <v>42</v>
      </c>
      <c r="V834" s="3">
        <f t="shared" ref="V834:V897" si="117">IF(P834="",0,IF(ISNUMBER(P834),ABS(P834),IF(RIGHT(P834,1)="%",VALUE(LEFT(P834,LEN(P834)-1))/100,P834)))</f>
        <v>0.05</v>
      </c>
      <c r="W834">
        <f t="shared" ref="W834:W897" si="118">N834*O834*(1-V834)</f>
        <v>36782.271000000008</v>
      </c>
      <c r="X834">
        <f t="shared" ref="X834:X897" si="119">W834-R834</f>
        <v>10879.461000000007</v>
      </c>
      <c r="Y834" s="4">
        <f t="shared" ref="Y834:Y897" si="120">IF(W834=0,0,X834/W834)</f>
        <v>0.29578002402298664</v>
      </c>
      <c r="Z834">
        <f t="shared" ref="Z834:Z897" si="121">C834-B834</f>
        <v>2</v>
      </c>
      <c r="AA834">
        <f t="shared" ref="AA834:AA897" si="122">MONTH(B834)</f>
        <v>5</v>
      </c>
      <c r="AB834">
        <f t="shared" ref="AB834:AB897" si="123">YEAR(B834)</f>
        <v>2025</v>
      </c>
      <c r="AC834" t="str">
        <f t="shared" ref="AC834:AC897" si="124">IF(COUNTIF($A$2:$A$913,A834)&gt;1,"Conflict - Review","Unique")</f>
        <v>Unique</v>
      </c>
      <c r="AD834" t="str">
        <f t="shared" ref="AD834:AD897" si="125">IF(OR(C834&lt;B834,AND(ISNUMBER(P834),P834&lt;0),V834&gt;0.65,AC834="Conflict - Review"),"Invalid",IF(OR(G834="Unknown",M834="Unknown",T834="Failed",U834="Cancelled"),"Warning","Clean"))</f>
        <v>Clean</v>
      </c>
    </row>
    <row r="835" spans="1:30" x14ac:dyDescent="0.3">
      <c r="A835" t="s">
        <v>2581</v>
      </c>
      <c r="B835" s="2">
        <v>45447</v>
      </c>
      <c r="C835" s="2">
        <v>45447</v>
      </c>
      <c r="D835" t="s">
        <v>2582</v>
      </c>
      <c r="E835" t="s">
        <v>127</v>
      </c>
      <c r="F835" t="s">
        <v>104</v>
      </c>
      <c r="G835" t="s">
        <v>47</v>
      </c>
      <c r="H835" t="s">
        <v>108</v>
      </c>
      <c r="I835" t="s">
        <v>109</v>
      </c>
      <c r="J835" t="s">
        <v>50</v>
      </c>
      <c r="K835" t="s">
        <v>167</v>
      </c>
      <c r="L835" t="s">
        <v>2583</v>
      </c>
      <c r="M835" t="s">
        <v>59</v>
      </c>
      <c r="N835">
        <v>6</v>
      </c>
      <c r="O835">
        <v>3949.4</v>
      </c>
      <c r="P835" s="3">
        <v>0</v>
      </c>
      <c r="Q835">
        <v>23696.400000000001</v>
      </c>
      <c r="R835">
        <v>18109.77</v>
      </c>
      <c r="S835">
        <v>5586.63</v>
      </c>
      <c r="T835" t="s">
        <v>41</v>
      </c>
      <c r="U835" t="s">
        <v>42</v>
      </c>
      <c r="V835" s="3">
        <f t="shared" si="117"/>
        <v>0</v>
      </c>
      <c r="W835">
        <f t="shared" si="118"/>
        <v>23696.400000000001</v>
      </c>
      <c r="X835">
        <f t="shared" si="119"/>
        <v>5586.630000000001</v>
      </c>
      <c r="Y835" s="4">
        <f t="shared" si="120"/>
        <v>0.23575859624246723</v>
      </c>
      <c r="Z835">
        <f t="shared" si="121"/>
        <v>0</v>
      </c>
      <c r="AA835">
        <f t="shared" si="122"/>
        <v>6</v>
      </c>
      <c r="AB835">
        <f t="shared" si="123"/>
        <v>2024</v>
      </c>
      <c r="AC835" t="str">
        <f t="shared" si="124"/>
        <v>Unique</v>
      </c>
      <c r="AD835" t="str">
        <f t="shared" si="125"/>
        <v>Clean</v>
      </c>
    </row>
    <row r="836" spans="1:30" x14ac:dyDescent="0.3">
      <c r="A836" t="s">
        <v>2584</v>
      </c>
      <c r="B836" s="2">
        <v>45583</v>
      </c>
      <c r="C836" s="2">
        <v>45587</v>
      </c>
      <c r="D836" t="s">
        <v>2585</v>
      </c>
      <c r="E836" t="s">
        <v>137</v>
      </c>
      <c r="F836" t="s">
        <v>104</v>
      </c>
      <c r="G836" t="s">
        <v>63</v>
      </c>
      <c r="H836" t="s">
        <v>64</v>
      </c>
      <c r="I836" t="s">
        <v>65</v>
      </c>
      <c r="J836" t="s">
        <v>37</v>
      </c>
      <c r="K836" t="s">
        <v>57</v>
      </c>
      <c r="L836" t="s">
        <v>2586</v>
      </c>
      <c r="M836" t="s">
        <v>59</v>
      </c>
      <c r="N836">
        <v>6</v>
      </c>
      <c r="O836">
        <v>674.61</v>
      </c>
      <c r="P836" s="3">
        <v>0</v>
      </c>
      <c r="Q836">
        <v>4047.66</v>
      </c>
      <c r="R836">
        <v>3078.93</v>
      </c>
      <c r="S836">
        <v>1279.79</v>
      </c>
      <c r="T836" t="s">
        <v>41</v>
      </c>
      <c r="U836" t="s">
        <v>42</v>
      </c>
      <c r="V836" s="3">
        <f t="shared" si="117"/>
        <v>0</v>
      </c>
      <c r="W836">
        <f t="shared" si="118"/>
        <v>4047.66</v>
      </c>
      <c r="X836">
        <f t="shared" si="119"/>
        <v>968.73</v>
      </c>
      <c r="Y836" s="4">
        <f t="shared" si="120"/>
        <v>0.23933087265234729</v>
      </c>
      <c r="Z836">
        <f t="shared" si="121"/>
        <v>4</v>
      </c>
      <c r="AA836">
        <f t="shared" si="122"/>
        <v>10</v>
      </c>
      <c r="AB836">
        <f t="shared" si="123"/>
        <v>2024</v>
      </c>
      <c r="AC836" t="str">
        <f t="shared" si="124"/>
        <v>Unique</v>
      </c>
      <c r="AD836" t="str">
        <f t="shared" si="125"/>
        <v>Clean</v>
      </c>
    </row>
    <row r="837" spans="1:30" x14ac:dyDescent="0.3">
      <c r="A837" t="s">
        <v>2587</v>
      </c>
      <c r="B837" s="2">
        <v>45926</v>
      </c>
      <c r="C837" s="2">
        <v>45934</v>
      </c>
      <c r="D837" t="s">
        <v>2588</v>
      </c>
      <c r="E837" t="s">
        <v>123</v>
      </c>
      <c r="F837" t="s">
        <v>46</v>
      </c>
      <c r="G837" t="s">
        <v>47</v>
      </c>
      <c r="H837" t="s">
        <v>175</v>
      </c>
      <c r="I837" t="s">
        <v>176</v>
      </c>
      <c r="J837" t="s">
        <v>83</v>
      </c>
      <c r="K837" t="s">
        <v>180</v>
      </c>
      <c r="L837" t="s">
        <v>2589</v>
      </c>
      <c r="M837" t="s">
        <v>40</v>
      </c>
      <c r="N837">
        <v>7</v>
      </c>
      <c r="O837">
        <v>1509.59</v>
      </c>
      <c r="P837" s="3">
        <v>0.05</v>
      </c>
      <c r="Q837">
        <v>10038.77</v>
      </c>
      <c r="R837">
        <v>5673.1</v>
      </c>
      <c r="S837">
        <v>4365.67</v>
      </c>
      <c r="T837" t="s">
        <v>41</v>
      </c>
      <c r="U837" t="s">
        <v>42</v>
      </c>
      <c r="V837" s="3">
        <f t="shared" si="117"/>
        <v>0.05</v>
      </c>
      <c r="W837">
        <f t="shared" si="118"/>
        <v>10038.773499999999</v>
      </c>
      <c r="X837">
        <f t="shared" si="119"/>
        <v>4365.673499999999</v>
      </c>
      <c r="Y837" s="4">
        <f t="shared" si="120"/>
        <v>0.43488116352062323</v>
      </c>
      <c r="Z837">
        <f t="shared" si="121"/>
        <v>8</v>
      </c>
      <c r="AA837">
        <f t="shared" si="122"/>
        <v>9</v>
      </c>
      <c r="AB837">
        <f t="shared" si="123"/>
        <v>2025</v>
      </c>
      <c r="AC837" t="str">
        <f t="shared" si="124"/>
        <v>Unique</v>
      </c>
      <c r="AD837" t="str">
        <f t="shared" si="125"/>
        <v>Clean</v>
      </c>
    </row>
    <row r="838" spans="1:30" x14ac:dyDescent="0.3">
      <c r="A838" t="s">
        <v>2590</v>
      </c>
      <c r="B838" s="2">
        <v>45641</v>
      </c>
      <c r="C838" s="2">
        <v>45644</v>
      </c>
      <c r="D838" t="s">
        <v>2591</v>
      </c>
      <c r="E838" t="s">
        <v>56</v>
      </c>
      <c r="F838" t="s">
        <v>46</v>
      </c>
      <c r="G838" t="s">
        <v>34</v>
      </c>
      <c r="H838" t="s">
        <v>35</v>
      </c>
      <c r="I838" t="s">
        <v>36</v>
      </c>
      <c r="J838" t="s">
        <v>37</v>
      </c>
      <c r="K838" t="s">
        <v>100</v>
      </c>
      <c r="L838" t="s">
        <v>2592</v>
      </c>
      <c r="M838" t="s">
        <v>40</v>
      </c>
      <c r="N838">
        <v>2</v>
      </c>
      <c r="O838">
        <v>537.11</v>
      </c>
      <c r="P838" s="3">
        <v>0</v>
      </c>
      <c r="Q838">
        <v>1074.22</v>
      </c>
      <c r="R838">
        <v>850.86</v>
      </c>
      <c r="S838">
        <v>223.36</v>
      </c>
      <c r="T838" t="s">
        <v>41</v>
      </c>
      <c r="U838" t="s">
        <v>42</v>
      </c>
      <c r="V838" s="3">
        <f t="shared" si="117"/>
        <v>0</v>
      </c>
      <c r="W838">
        <f t="shared" si="118"/>
        <v>1074.22</v>
      </c>
      <c r="X838">
        <f t="shared" si="119"/>
        <v>223.36</v>
      </c>
      <c r="Y838" s="4">
        <f t="shared" si="120"/>
        <v>0.20792761259332354</v>
      </c>
      <c r="Z838">
        <f t="shared" si="121"/>
        <v>3</v>
      </c>
      <c r="AA838">
        <f t="shared" si="122"/>
        <v>12</v>
      </c>
      <c r="AB838">
        <f t="shared" si="123"/>
        <v>2024</v>
      </c>
      <c r="AC838" t="str">
        <f t="shared" si="124"/>
        <v>Unique</v>
      </c>
      <c r="AD838" t="str">
        <f t="shared" si="125"/>
        <v>Clean</v>
      </c>
    </row>
    <row r="839" spans="1:30" x14ac:dyDescent="0.3">
      <c r="A839" t="s">
        <v>2593</v>
      </c>
      <c r="B839" s="2">
        <v>45927</v>
      </c>
      <c r="C839" s="2">
        <v>45928</v>
      </c>
      <c r="D839" t="s">
        <v>2594</v>
      </c>
      <c r="E839" t="s">
        <v>32</v>
      </c>
      <c r="F839" t="s">
        <v>104</v>
      </c>
      <c r="G839" t="s">
        <v>72</v>
      </c>
      <c r="H839" t="s">
        <v>73</v>
      </c>
      <c r="I839" t="s">
        <v>74</v>
      </c>
      <c r="J839" t="s">
        <v>37</v>
      </c>
      <c r="K839" t="s">
        <v>38</v>
      </c>
      <c r="L839" t="s">
        <v>2595</v>
      </c>
      <c r="M839" t="s">
        <v>59</v>
      </c>
      <c r="N839">
        <v>3</v>
      </c>
      <c r="O839">
        <v>4177.63</v>
      </c>
      <c r="P839" s="3">
        <v>0.25</v>
      </c>
      <c r="Q839">
        <v>9399.67</v>
      </c>
      <c r="R839">
        <v>6540.37</v>
      </c>
      <c r="S839">
        <v>2859.3</v>
      </c>
      <c r="T839" t="s">
        <v>41</v>
      </c>
      <c r="U839" t="s">
        <v>42</v>
      </c>
      <c r="V839" s="3">
        <f t="shared" si="117"/>
        <v>0.25</v>
      </c>
      <c r="W839">
        <f t="shared" si="118"/>
        <v>9399.6674999999996</v>
      </c>
      <c r="X839">
        <f t="shared" si="119"/>
        <v>2859.2974999999997</v>
      </c>
      <c r="Y839" s="4">
        <f t="shared" si="120"/>
        <v>0.30419134506619516</v>
      </c>
      <c r="Z839">
        <f t="shared" si="121"/>
        <v>1</v>
      </c>
      <c r="AA839">
        <f t="shared" si="122"/>
        <v>9</v>
      </c>
      <c r="AB839">
        <f t="shared" si="123"/>
        <v>2025</v>
      </c>
      <c r="AC839" t="str">
        <f t="shared" si="124"/>
        <v>Unique</v>
      </c>
      <c r="AD839" t="str">
        <f t="shared" si="125"/>
        <v>Clean</v>
      </c>
    </row>
    <row r="840" spans="1:30" x14ac:dyDescent="0.3">
      <c r="A840" t="s">
        <v>2596</v>
      </c>
      <c r="B840" s="2">
        <v>45750</v>
      </c>
      <c r="C840" s="2">
        <v>45754</v>
      </c>
      <c r="D840" t="s">
        <v>2597</v>
      </c>
      <c r="E840" t="s">
        <v>71</v>
      </c>
      <c r="F840" t="s">
        <v>46</v>
      </c>
      <c r="G840" t="s">
        <v>72</v>
      </c>
      <c r="H840" t="s">
        <v>199</v>
      </c>
      <c r="I840" t="s">
        <v>200</v>
      </c>
      <c r="J840" t="s">
        <v>37</v>
      </c>
      <c r="K840" t="s">
        <v>38</v>
      </c>
      <c r="L840" t="s">
        <v>2598</v>
      </c>
      <c r="M840" t="s">
        <v>53</v>
      </c>
      <c r="N840">
        <v>1</v>
      </c>
      <c r="O840">
        <v>1470.57</v>
      </c>
      <c r="P840" s="3">
        <v>0</v>
      </c>
      <c r="Q840">
        <v>1470.57</v>
      </c>
      <c r="R840">
        <v>834.02</v>
      </c>
      <c r="S840">
        <v>636.54999999999995</v>
      </c>
      <c r="T840" t="s">
        <v>41</v>
      </c>
      <c r="U840" t="s">
        <v>112</v>
      </c>
      <c r="V840" s="3">
        <f t="shared" si="117"/>
        <v>0</v>
      </c>
      <c r="W840">
        <f t="shared" si="118"/>
        <v>1470.57</v>
      </c>
      <c r="X840">
        <f t="shared" si="119"/>
        <v>636.54999999999995</v>
      </c>
      <c r="Y840" s="4">
        <f t="shared" si="120"/>
        <v>0.43285936745615644</v>
      </c>
      <c r="Z840">
        <f t="shared" si="121"/>
        <v>4</v>
      </c>
      <c r="AA840">
        <f t="shared" si="122"/>
        <v>4</v>
      </c>
      <c r="AB840">
        <f t="shared" si="123"/>
        <v>2025</v>
      </c>
      <c r="AC840" t="str">
        <f t="shared" si="124"/>
        <v>Unique</v>
      </c>
      <c r="AD840" t="str">
        <f t="shared" si="125"/>
        <v>Clean</v>
      </c>
    </row>
    <row r="841" spans="1:30" x14ac:dyDescent="0.3">
      <c r="A841" t="s">
        <v>2599</v>
      </c>
      <c r="B841" s="2">
        <v>45555</v>
      </c>
      <c r="C841" s="2">
        <v>45557</v>
      </c>
      <c r="D841" t="s">
        <v>2600</v>
      </c>
      <c r="E841" t="s">
        <v>150</v>
      </c>
      <c r="F841" t="s">
        <v>104</v>
      </c>
      <c r="G841" t="s">
        <v>47</v>
      </c>
      <c r="H841" t="s">
        <v>48</v>
      </c>
      <c r="I841" t="s">
        <v>49</v>
      </c>
      <c r="J841" t="s">
        <v>83</v>
      </c>
      <c r="K841" t="s">
        <v>180</v>
      </c>
      <c r="L841" t="s">
        <v>2601</v>
      </c>
      <c r="M841" t="s">
        <v>68</v>
      </c>
      <c r="N841">
        <v>8</v>
      </c>
      <c r="O841">
        <v>531.42999999999995</v>
      </c>
      <c r="P841" s="3">
        <v>0.1</v>
      </c>
      <c r="Q841">
        <v>3826.3</v>
      </c>
      <c r="R841">
        <v>2194.12</v>
      </c>
      <c r="S841">
        <v>1632.18</v>
      </c>
      <c r="T841" t="s">
        <v>41</v>
      </c>
      <c r="U841" t="s">
        <v>42</v>
      </c>
      <c r="V841" s="3">
        <f t="shared" si="117"/>
        <v>0.1</v>
      </c>
      <c r="W841">
        <f t="shared" si="118"/>
        <v>3826.2959999999998</v>
      </c>
      <c r="X841">
        <f t="shared" si="119"/>
        <v>1632.1759999999999</v>
      </c>
      <c r="Y841" s="4">
        <f t="shared" si="120"/>
        <v>0.42656814841298218</v>
      </c>
      <c r="Z841">
        <f t="shared" si="121"/>
        <v>2</v>
      </c>
      <c r="AA841">
        <f t="shared" si="122"/>
        <v>9</v>
      </c>
      <c r="AB841">
        <f t="shared" si="123"/>
        <v>2024</v>
      </c>
      <c r="AC841" t="str">
        <f t="shared" si="124"/>
        <v>Unique</v>
      </c>
      <c r="AD841" t="str">
        <f t="shared" si="125"/>
        <v>Clean</v>
      </c>
    </row>
    <row r="842" spans="1:30" x14ac:dyDescent="0.3">
      <c r="A842" t="s">
        <v>2602</v>
      </c>
      <c r="B842" s="2">
        <v>45919</v>
      </c>
      <c r="C842" s="2">
        <v>45919</v>
      </c>
      <c r="D842" t="s">
        <v>2603</v>
      </c>
      <c r="E842" t="s">
        <v>88</v>
      </c>
      <c r="F842" t="s">
        <v>104</v>
      </c>
      <c r="G842" t="s">
        <v>34</v>
      </c>
      <c r="H842" t="s">
        <v>360</v>
      </c>
      <c r="I842" t="s">
        <v>361</v>
      </c>
      <c r="J842" t="s">
        <v>50</v>
      </c>
      <c r="K842" t="s">
        <v>75</v>
      </c>
      <c r="L842" t="s">
        <v>2604</v>
      </c>
      <c r="M842" t="s">
        <v>53</v>
      </c>
      <c r="N842">
        <v>4</v>
      </c>
      <c r="O842">
        <v>1584.11</v>
      </c>
      <c r="P842" s="3">
        <v>0</v>
      </c>
      <c r="Q842">
        <v>6336.44</v>
      </c>
      <c r="R842">
        <v>4680.68</v>
      </c>
      <c r="S842">
        <v>1655.76</v>
      </c>
      <c r="T842" t="s">
        <v>41</v>
      </c>
      <c r="U842" t="s">
        <v>42</v>
      </c>
      <c r="V842" s="3">
        <f t="shared" si="117"/>
        <v>0</v>
      </c>
      <c r="W842">
        <f t="shared" si="118"/>
        <v>6336.44</v>
      </c>
      <c r="X842">
        <f t="shared" si="119"/>
        <v>1655.7599999999993</v>
      </c>
      <c r="Y842" s="4">
        <f t="shared" si="120"/>
        <v>0.26130761121386764</v>
      </c>
      <c r="Z842">
        <f t="shared" si="121"/>
        <v>0</v>
      </c>
      <c r="AA842">
        <f t="shared" si="122"/>
        <v>9</v>
      </c>
      <c r="AB842">
        <f t="shared" si="123"/>
        <v>2025</v>
      </c>
      <c r="AC842" t="str">
        <f t="shared" si="124"/>
        <v>Unique</v>
      </c>
      <c r="AD842" t="str">
        <f t="shared" si="125"/>
        <v>Clean</v>
      </c>
    </row>
    <row r="843" spans="1:30" x14ac:dyDescent="0.3">
      <c r="A843" t="s">
        <v>2605</v>
      </c>
      <c r="B843" s="2">
        <v>45694</v>
      </c>
      <c r="C843" s="2">
        <v>45700</v>
      </c>
      <c r="D843" t="s">
        <v>2606</v>
      </c>
      <c r="E843" t="s">
        <v>71</v>
      </c>
      <c r="F843" t="s">
        <v>46</v>
      </c>
      <c r="G843" t="s">
        <v>47</v>
      </c>
      <c r="H843" t="s">
        <v>154</v>
      </c>
      <c r="I843" t="s">
        <v>155</v>
      </c>
      <c r="J843" t="s">
        <v>37</v>
      </c>
      <c r="K843" t="s">
        <v>57</v>
      </c>
      <c r="L843" t="s">
        <v>2607</v>
      </c>
      <c r="M843" t="s">
        <v>68</v>
      </c>
      <c r="N843">
        <v>9</v>
      </c>
      <c r="O843">
        <v>3237.16</v>
      </c>
      <c r="P843" s="3">
        <v>0.25</v>
      </c>
      <c r="Q843">
        <v>21850.83</v>
      </c>
      <c r="R843">
        <v>16600.13</v>
      </c>
      <c r="S843">
        <v>5250.7</v>
      </c>
      <c r="T843" t="s">
        <v>41</v>
      </c>
      <c r="U843" t="s">
        <v>42</v>
      </c>
      <c r="V843" s="3">
        <f t="shared" si="117"/>
        <v>0.25</v>
      </c>
      <c r="W843">
        <f t="shared" si="118"/>
        <v>21850.829999999998</v>
      </c>
      <c r="X843">
        <f t="shared" si="119"/>
        <v>5250.6999999999971</v>
      </c>
      <c r="Y843" s="4">
        <f t="shared" si="120"/>
        <v>0.2402975081495759</v>
      </c>
      <c r="Z843">
        <f t="shared" si="121"/>
        <v>6</v>
      </c>
      <c r="AA843">
        <f t="shared" si="122"/>
        <v>2</v>
      </c>
      <c r="AB843">
        <f t="shared" si="123"/>
        <v>2025</v>
      </c>
      <c r="AC843" t="str">
        <f t="shared" si="124"/>
        <v>Unique</v>
      </c>
      <c r="AD843" t="str">
        <f t="shared" si="125"/>
        <v>Clean</v>
      </c>
    </row>
    <row r="844" spans="1:30" x14ac:dyDescent="0.3">
      <c r="A844" t="s">
        <v>2608</v>
      </c>
      <c r="B844" s="2">
        <v>45382</v>
      </c>
      <c r="C844" s="2">
        <v>45381</v>
      </c>
      <c r="D844" t="s">
        <v>2609</v>
      </c>
      <c r="E844" t="s">
        <v>274</v>
      </c>
      <c r="F844" t="s">
        <v>33</v>
      </c>
      <c r="G844" t="s">
        <v>34</v>
      </c>
      <c r="H844" t="s">
        <v>246</v>
      </c>
      <c r="I844" t="s">
        <v>247</v>
      </c>
      <c r="J844" t="s">
        <v>83</v>
      </c>
      <c r="K844" t="s">
        <v>284</v>
      </c>
      <c r="L844" t="s">
        <v>2610</v>
      </c>
      <c r="M844" t="s">
        <v>59</v>
      </c>
      <c r="N844">
        <v>4</v>
      </c>
      <c r="O844">
        <v>2192.08</v>
      </c>
      <c r="P844" s="3">
        <v>0.15</v>
      </c>
      <c r="Q844">
        <v>7453.07</v>
      </c>
      <c r="R844">
        <v>5133.78</v>
      </c>
      <c r="S844">
        <v>2319.29</v>
      </c>
      <c r="T844" t="s">
        <v>41</v>
      </c>
      <c r="U844" t="s">
        <v>112</v>
      </c>
      <c r="V844" s="3">
        <f t="shared" si="117"/>
        <v>0.15</v>
      </c>
      <c r="W844">
        <f t="shared" si="118"/>
        <v>7453.0719999999992</v>
      </c>
      <c r="X844">
        <f t="shared" si="119"/>
        <v>2319.2919999999995</v>
      </c>
      <c r="Y844" s="4">
        <f t="shared" si="120"/>
        <v>0.31118604516365866</v>
      </c>
      <c r="Z844">
        <f t="shared" si="121"/>
        <v>-1</v>
      </c>
      <c r="AA844">
        <f t="shared" si="122"/>
        <v>3</v>
      </c>
      <c r="AB844">
        <f t="shared" si="123"/>
        <v>2024</v>
      </c>
      <c r="AC844" t="str">
        <f t="shared" si="124"/>
        <v>Unique</v>
      </c>
      <c r="AD844" t="str">
        <f t="shared" si="125"/>
        <v>Invalid</v>
      </c>
    </row>
    <row r="845" spans="1:30" x14ac:dyDescent="0.3">
      <c r="A845" t="s">
        <v>2611</v>
      </c>
      <c r="B845" s="2">
        <v>45856</v>
      </c>
      <c r="C845" s="2">
        <v>45863</v>
      </c>
      <c r="D845" t="s">
        <v>2612</v>
      </c>
      <c r="E845" t="s">
        <v>123</v>
      </c>
      <c r="F845" t="s">
        <v>46</v>
      </c>
      <c r="G845" t="s">
        <v>34</v>
      </c>
      <c r="H845" t="s">
        <v>145</v>
      </c>
      <c r="I845" t="s">
        <v>146</v>
      </c>
      <c r="J845" t="s">
        <v>83</v>
      </c>
      <c r="K845" t="s">
        <v>180</v>
      </c>
      <c r="L845" t="s">
        <v>2613</v>
      </c>
      <c r="M845" t="s">
        <v>59</v>
      </c>
      <c r="N845">
        <v>9</v>
      </c>
      <c r="O845">
        <v>3989.52</v>
      </c>
      <c r="P845" s="3">
        <v>-0.02</v>
      </c>
      <c r="Q845">
        <v>35905.68</v>
      </c>
      <c r="R845">
        <v>23916.1</v>
      </c>
      <c r="S845">
        <v>11989.58</v>
      </c>
      <c r="T845" t="s">
        <v>41</v>
      </c>
      <c r="U845" t="s">
        <v>42</v>
      </c>
      <c r="V845" s="3">
        <f t="shared" si="117"/>
        <v>0.02</v>
      </c>
      <c r="W845">
        <f t="shared" si="118"/>
        <v>35187.566399999996</v>
      </c>
      <c r="X845">
        <f t="shared" si="119"/>
        <v>11271.466399999998</v>
      </c>
      <c r="Y845" s="4">
        <f t="shared" si="120"/>
        <v>0.32032526125478228</v>
      </c>
      <c r="Z845">
        <f t="shared" si="121"/>
        <v>7</v>
      </c>
      <c r="AA845">
        <f t="shared" si="122"/>
        <v>7</v>
      </c>
      <c r="AB845">
        <f t="shared" si="123"/>
        <v>2025</v>
      </c>
      <c r="AC845" t="str">
        <f t="shared" si="124"/>
        <v>Unique</v>
      </c>
      <c r="AD845" t="str">
        <f t="shared" si="125"/>
        <v>Invalid</v>
      </c>
    </row>
    <row r="846" spans="1:30" x14ac:dyDescent="0.3">
      <c r="A846" t="s">
        <v>2614</v>
      </c>
      <c r="B846" s="2">
        <v>45677</v>
      </c>
      <c r="C846" s="2">
        <v>45682</v>
      </c>
      <c r="D846" t="s">
        <v>2615</v>
      </c>
      <c r="E846" t="s">
        <v>98</v>
      </c>
      <c r="F846" t="s">
        <v>104</v>
      </c>
      <c r="G846" t="s">
        <v>72</v>
      </c>
      <c r="H846" t="s">
        <v>199</v>
      </c>
      <c r="I846" t="s">
        <v>200</v>
      </c>
      <c r="J846" t="s">
        <v>37</v>
      </c>
      <c r="K846" t="s">
        <v>57</v>
      </c>
      <c r="L846" t="s">
        <v>2616</v>
      </c>
      <c r="M846" t="s">
        <v>59</v>
      </c>
      <c r="N846">
        <v>1</v>
      </c>
      <c r="O846">
        <v>3515.15</v>
      </c>
      <c r="P846" s="3">
        <v>0</v>
      </c>
      <c r="Q846">
        <v>3515.15</v>
      </c>
      <c r="R846">
        <v>2216.34</v>
      </c>
      <c r="S846">
        <v>1298.81</v>
      </c>
      <c r="T846" t="s">
        <v>41</v>
      </c>
      <c r="U846" t="s">
        <v>42</v>
      </c>
      <c r="V846" s="3">
        <f t="shared" si="117"/>
        <v>0</v>
      </c>
      <c r="W846">
        <f t="shared" si="118"/>
        <v>3515.15</v>
      </c>
      <c r="X846">
        <f t="shared" si="119"/>
        <v>1298.81</v>
      </c>
      <c r="Y846" s="4">
        <f t="shared" si="120"/>
        <v>0.36948921098672882</v>
      </c>
      <c r="Z846">
        <f t="shared" si="121"/>
        <v>5</v>
      </c>
      <c r="AA846">
        <f t="shared" si="122"/>
        <v>1</v>
      </c>
      <c r="AB846">
        <f t="shared" si="123"/>
        <v>2025</v>
      </c>
      <c r="AC846" t="str">
        <f t="shared" si="124"/>
        <v>Unique</v>
      </c>
      <c r="AD846" t="str">
        <f t="shared" si="125"/>
        <v>Clean</v>
      </c>
    </row>
    <row r="847" spans="1:30" x14ac:dyDescent="0.3">
      <c r="A847" t="s">
        <v>2617</v>
      </c>
      <c r="B847" s="2">
        <v>45345</v>
      </c>
      <c r="C847" s="2">
        <v>45349</v>
      </c>
      <c r="D847" t="s">
        <v>603</v>
      </c>
      <c r="E847" t="s">
        <v>32</v>
      </c>
      <c r="F847" t="s">
        <v>33</v>
      </c>
      <c r="G847" t="s">
        <v>47</v>
      </c>
      <c r="H847" t="s">
        <v>48</v>
      </c>
      <c r="I847" t="s">
        <v>49</v>
      </c>
      <c r="J847" t="s">
        <v>50</v>
      </c>
      <c r="K847" t="s">
        <v>51</v>
      </c>
      <c r="L847" t="s">
        <v>2618</v>
      </c>
      <c r="M847" t="s">
        <v>59</v>
      </c>
      <c r="N847">
        <v>9</v>
      </c>
      <c r="O847">
        <v>3616.23</v>
      </c>
      <c r="P847" s="3">
        <v>0.25</v>
      </c>
      <c r="Q847">
        <v>24409.55</v>
      </c>
      <c r="R847">
        <v>17157.580000000002</v>
      </c>
      <c r="S847">
        <v>7251.97</v>
      </c>
      <c r="T847" t="s">
        <v>120</v>
      </c>
      <c r="U847" t="s">
        <v>112</v>
      </c>
      <c r="V847" s="3">
        <f t="shared" si="117"/>
        <v>0.25</v>
      </c>
      <c r="W847">
        <f t="shared" si="118"/>
        <v>24409.552499999998</v>
      </c>
      <c r="X847">
        <f t="shared" si="119"/>
        <v>7251.9724999999962</v>
      </c>
      <c r="Y847" s="4">
        <f t="shared" si="120"/>
        <v>0.29709567596538267</v>
      </c>
      <c r="Z847">
        <f t="shared" si="121"/>
        <v>4</v>
      </c>
      <c r="AA847">
        <f t="shared" si="122"/>
        <v>2</v>
      </c>
      <c r="AB847">
        <f t="shared" si="123"/>
        <v>2024</v>
      </c>
      <c r="AC847" t="str">
        <f t="shared" si="124"/>
        <v>Unique</v>
      </c>
      <c r="AD847" t="str">
        <f t="shared" si="125"/>
        <v>Clean</v>
      </c>
    </row>
    <row r="848" spans="1:30" x14ac:dyDescent="0.3">
      <c r="A848" t="s">
        <v>2619</v>
      </c>
      <c r="B848" s="2">
        <v>45396</v>
      </c>
      <c r="C848" s="2">
        <v>45404</v>
      </c>
      <c r="D848" t="s">
        <v>2620</v>
      </c>
      <c r="E848" t="s">
        <v>123</v>
      </c>
      <c r="F848" t="s">
        <v>46</v>
      </c>
      <c r="G848" t="s">
        <v>72</v>
      </c>
      <c r="H848" t="s">
        <v>189</v>
      </c>
      <c r="I848" t="s">
        <v>190</v>
      </c>
      <c r="J848" t="s">
        <v>50</v>
      </c>
      <c r="K848" t="s">
        <v>167</v>
      </c>
      <c r="L848" t="s">
        <v>2621</v>
      </c>
      <c r="M848" t="s">
        <v>68</v>
      </c>
      <c r="N848">
        <v>2</v>
      </c>
      <c r="O848">
        <v>3977.52</v>
      </c>
      <c r="P848" s="3">
        <v>0</v>
      </c>
      <c r="Q848">
        <v>7955.04</v>
      </c>
      <c r="R848">
        <v>5580.68</v>
      </c>
      <c r="S848">
        <v>2374.36</v>
      </c>
      <c r="T848" t="s">
        <v>120</v>
      </c>
      <c r="U848" t="s">
        <v>112</v>
      </c>
      <c r="V848" s="3">
        <f t="shared" si="117"/>
        <v>0</v>
      </c>
      <c r="W848">
        <f t="shared" si="118"/>
        <v>7955.04</v>
      </c>
      <c r="X848">
        <f t="shared" si="119"/>
        <v>2374.3599999999997</v>
      </c>
      <c r="Y848" s="4">
        <f t="shared" si="120"/>
        <v>0.29847241497214339</v>
      </c>
      <c r="Z848">
        <f t="shared" si="121"/>
        <v>8</v>
      </c>
      <c r="AA848">
        <f t="shared" si="122"/>
        <v>4</v>
      </c>
      <c r="AB848">
        <f t="shared" si="123"/>
        <v>2024</v>
      </c>
      <c r="AC848" t="str">
        <f t="shared" si="124"/>
        <v>Unique</v>
      </c>
      <c r="AD848" t="str">
        <f t="shared" si="125"/>
        <v>Clean</v>
      </c>
    </row>
    <row r="849" spans="1:30" x14ac:dyDescent="0.3">
      <c r="A849" t="s">
        <v>2622</v>
      </c>
      <c r="B849" s="2">
        <v>45797</v>
      </c>
      <c r="C849" s="2">
        <v>45799</v>
      </c>
      <c r="D849" t="s">
        <v>2623</v>
      </c>
      <c r="E849" t="s">
        <v>171</v>
      </c>
      <c r="F849" t="s">
        <v>104</v>
      </c>
      <c r="G849" t="s">
        <v>47</v>
      </c>
      <c r="H849" t="s">
        <v>48</v>
      </c>
      <c r="I849" t="s">
        <v>49</v>
      </c>
      <c r="J849" t="s">
        <v>50</v>
      </c>
      <c r="K849" t="s">
        <v>51</v>
      </c>
      <c r="L849" t="s">
        <v>2624</v>
      </c>
      <c r="M849" t="s">
        <v>40</v>
      </c>
      <c r="N849">
        <v>2</v>
      </c>
      <c r="O849">
        <v>210.08</v>
      </c>
      <c r="P849" s="3">
        <v>0.2</v>
      </c>
      <c r="Q849">
        <v>336.13</v>
      </c>
      <c r="R849">
        <v>242.19</v>
      </c>
      <c r="S849">
        <v>93.94</v>
      </c>
      <c r="T849" t="s">
        <v>41</v>
      </c>
      <c r="U849" t="s">
        <v>42</v>
      </c>
      <c r="V849" s="3">
        <f t="shared" si="117"/>
        <v>0.2</v>
      </c>
      <c r="W849">
        <f t="shared" si="118"/>
        <v>336.12800000000004</v>
      </c>
      <c r="X849">
        <f t="shared" si="119"/>
        <v>93.938000000000045</v>
      </c>
      <c r="Y849" s="4">
        <f t="shared" si="120"/>
        <v>0.27947091584158423</v>
      </c>
      <c r="Z849">
        <f t="shared" si="121"/>
        <v>2</v>
      </c>
      <c r="AA849">
        <f t="shared" si="122"/>
        <v>5</v>
      </c>
      <c r="AB849">
        <f t="shared" si="123"/>
        <v>2025</v>
      </c>
      <c r="AC849" t="str">
        <f t="shared" si="124"/>
        <v>Unique</v>
      </c>
      <c r="AD849" t="str">
        <f t="shared" si="125"/>
        <v>Clean</v>
      </c>
    </row>
    <row r="850" spans="1:30" x14ac:dyDescent="0.3">
      <c r="A850" t="s">
        <v>2625</v>
      </c>
      <c r="B850" s="2">
        <v>45804</v>
      </c>
      <c r="C850" s="2">
        <v>45806</v>
      </c>
      <c r="D850" t="s">
        <v>2626</v>
      </c>
      <c r="E850" t="s">
        <v>127</v>
      </c>
      <c r="F850" t="s">
        <v>104</v>
      </c>
      <c r="G850" t="s">
        <v>63</v>
      </c>
      <c r="H850" t="s">
        <v>257</v>
      </c>
      <c r="I850" t="s">
        <v>258</v>
      </c>
      <c r="J850" t="s">
        <v>50</v>
      </c>
      <c r="K850" t="s">
        <v>66</v>
      </c>
      <c r="L850" t="s">
        <v>2627</v>
      </c>
      <c r="M850" t="s">
        <v>40</v>
      </c>
      <c r="N850">
        <v>1</v>
      </c>
      <c r="O850">
        <v>1744.35</v>
      </c>
      <c r="P850" s="3">
        <v>0.25</v>
      </c>
      <c r="Q850">
        <v>1308.26</v>
      </c>
      <c r="R850">
        <v>1083.56</v>
      </c>
      <c r="S850">
        <v>224.7</v>
      </c>
      <c r="T850" t="s">
        <v>41</v>
      </c>
      <c r="U850" t="s">
        <v>42</v>
      </c>
      <c r="V850" s="3">
        <f t="shared" si="117"/>
        <v>0.25</v>
      </c>
      <c r="W850">
        <f t="shared" si="118"/>
        <v>1308.2624999999998</v>
      </c>
      <c r="X850">
        <f t="shared" si="119"/>
        <v>224.70249999999987</v>
      </c>
      <c r="Y850" s="4">
        <f t="shared" si="120"/>
        <v>0.17175643267310645</v>
      </c>
      <c r="Z850">
        <f t="shared" si="121"/>
        <v>2</v>
      </c>
      <c r="AA850">
        <f t="shared" si="122"/>
        <v>5</v>
      </c>
      <c r="AB850">
        <f t="shared" si="123"/>
        <v>2025</v>
      </c>
      <c r="AC850" t="str">
        <f t="shared" si="124"/>
        <v>Unique</v>
      </c>
      <c r="AD850" t="str">
        <f t="shared" si="125"/>
        <v>Clean</v>
      </c>
    </row>
    <row r="851" spans="1:30" x14ac:dyDescent="0.3">
      <c r="A851" t="s">
        <v>2628</v>
      </c>
      <c r="B851" s="2">
        <v>45357</v>
      </c>
      <c r="C851" s="2">
        <v>45363</v>
      </c>
      <c r="D851" t="s">
        <v>2629</v>
      </c>
      <c r="E851" t="s">
        <v>56</v>
      </c>
      <c r="F851" t="s">
        <v>104</v>
      </c>
      <c r="G851" t="s">
        <v>72</v>
      </c>
      <c r="H851" t="s">
        <v>189</v>
      </c>
      <c r="I851" t="s">
        <v>190</v>
      </c>
      <c r="J851" t="s">
        <v>50</v>
      </c>
      <c r="K851" t="s">
        <v>167</v>
      </c>
      <c r="L851" t="s">
        <v>2630</v>
      </c>
      <c r="M851" t="s">
        <v>68</v>
      </c>
      <c r="N851">
        <v>3</v>
      </c>
      <c r="O851">
        <v>679.63</v>
      </c>
      <c r="P851" s="3">
        <v>0.2</v>
      </c>
      <c r="Q851">
        <v>1631.11</v>
      </c>
      <c r="R851">
        <v>898.73</v>
      </c>
      <c r="S851">
        <v>396.58</v>
      </c>
      <c r="T851" t="s">
        <v>41</v>
      </c>
      <c r="U851" t="s">
        <v>42</v>
      </c>
      <c r="V851" s="3">
        <f t="shared" si="117"/>
        <v>0.2</v>
      </c>
      <c r="W851">
        <f t="shared" si="118"/>
        <v>1631.1120000000001</v>
      </c>
      <c r="X851">
        <f t="shared" si="119"/>
        <v>732.38200000000006</v>
      </c>
      <c r="Y851" s="4">
        <f t="shared" si="120"/>
        <v>0.44900779345624336</v>
      </c>
      <c r="Z851">
        <f t="shared" si="121"/>
        <v>6</v>
      </c>
      <c r="AA851">
        <f t="shared" si="122"/>
        <v>3</v>
      </c>
      <c r="AB851">
        <f t="shared" si="123"/>
        <v>2024</v>
      </c>
      <c r="AC851" t="str">
        <f t="shared" si="124"/>
        <v>Unique</v>
      </c>
      <c r="AD851" t="str">
        <f t="shared" si="125"/>
        <v>Clean</v>
      </c>
    </row>
    <row r="852" spans="1:30" x14ac:dyDescent="0.3">
      <c r="A852" t="s">
        <v>2631</v>
      </c>
      <c r="B852" s="2">
        <v>45473</v>
      </c>
      <c r="C852" s="2">
        <v>45476</v>
      </c>
      <c r="D852" t="s">
        <v>2632</v>
      </c>
      <c r="E852" t="s">
        <v>123</v>
      </c>
      <c r="F852" t="s">
        <v>104</v>
      </c>
      <c r="G852" t="s">
        <v>47</v>
      </c>
      <c r="H852" t="s">
        <v>108</v>
      </c>
      <c r="I852" t="s">
        <v>109</v>
      </c>
      <c r="J852" t="s">
        <v>37</v>
      </c>
      <c r="K852" t="s">
        <v>38</v>
      </c>
      <c r="L852" t="s">
        <v>2633</v>
      </c>
      <c r="M852" t="s">
        <v>59</v>
      </c>
      <c r="N852">
        <v>6</v>
      </c>
      <c r="O852">
        <v>1211.01</v>
      </c>
      <c r="P852" s="3">
        <v>0</v>
      </c>
      <c r="Q852">
        <v>7266.06</v>
      </c>
      <c r="R852">
        <v>6216.89</v>
      </c>
      <c r="S852">
        <v>1049.17</v>
      </c>
      <c r="T852" t="s">
        <v>41</v>
      </c>
      <c r="U852" t="s">
        <v>42</v>
      </c>
      <c r="V852" s="3">
        <f t="shared" si="117"/>
        <v>0</v>
      </c>
      <c r="W852">
        <f t="shared" si="118"/>
        <v>7266.0599999999995</v>
      </c>
      <c r="X852">
        <f t="shared" si="119"/>
        <v>1049.1699999999992</v>
      </c>
      <c r="Y852" s="4">
        <f t="shared" si="120"/>
        <v>0.14439324750965438</v>
      </c>
      <c r="Z852">
        <f t="shared" si="121"/>
        <v>3</v>
      </c>
      <c r="AA852">
        <f t="shared" si="122"/>
        <v>6</v>
      </c>
      <c r="AB852">
        <f t="shared" si="123"/>
        <v>2024</v>
      </c>
      <c r="AC852" t="str">
        <f t="shared" si="124"/>
        <v>Unique</v>
      </c>
      <c r="AD852" t="str">
        <f t="shared" si="125"/>
        <v>Clean</v>
      </c>
    </row>
    <row r="853" spans="1:30" x14ac:dyDescent="0.3">
      <c r="A853" t="s">
        <v>2634</v>
      </c>
      <c r="B853" s="2">
        <v>45377</v>
      </c>
      <c r="C853" s="2">
        <v>45383</v>
      </c>
      <c r="D853" t="s">
        <v>2635</v>
      </c>
      <c r="E853" t="s">
        <v>32</v>
      </c>
      <c r="F853" t="s">
        <v>46</v>
      </c>
      <c r="G853" t="s">
        <v>72</v>
      </c>
      <c r="H853" t="s">
        <v>189</v>
      </c>
      <c r="I853" t="s">
        <v>190</v>
      </c>
      <c r="J853" t="s">
        <v>83</v>
      </c>
      <c r="K853" t="s">
        <v>84</v>
      </c>
      <c r="L853" t="s">
        <v>2636</v>
      </c>
      <c r="M853" t="s">
        <v>59</v>
      </c>
      <c r="N853">
        <v>2</v>
      </c>
      <c r="O853">
        <v>1161.3</v>
      </c>
      <c r="P853" s="3">
        <v>0.2</v>
      </c>
      <c r="Q853">
        <v>1858.08</v>
      </c>
      <c r="R853">
        <v>1590.75</v>
      </c>
      <c r="S853">
        <v>267.33</v>
      </c>
      <c r="T853" t="s">
        <v>41</v>
      </c>
      <c r="U853" t="s">
        <v>42</v>
      </c>
      <c r="V853" s="3">
        <f t="shared" si="117"/>
        <v>0.2</v>
      </c>
      <c r="W853">
        <f t="shared" si="118"/>
        <v>1858.08</v>
      </c>
      <c r="X853">
        <f t="shared" si="119"/>
        <v>267.32999999999993</v>
      </c>
      <c r="Y853" s="4">
        <f t="shared" si="120"/>
        <v>0.14387432188065097</v>
      </c>
      <c r="Z853">
        <f t="shared" si="121"/>
        <v>6</v>
      </c>
      <c r="AA853">
        <f t="shared" si="122"/>
        <v>3</v>
      </c>
      <c r="AB853">
        <f t="shared" si="123"/>
        <v>2024</v>
      </c>
      <c r="AC853" t="str">
        <f t="shared" si="124"/>
        <v>Unique</v>
      </c>
      <c r="AD853" t="str">
        <f t="shared" si="125"/>
        <v>Clean</v>
      </c>
    </row>
    <row r="854" spans="1:30" x14ac:dyDescent="0.3">
      <c r="A854" t="s">
        <v>2637</v>
      </c>
      <c r="B854" s="2">
        <v>45383</v>
      </c>
      <c r="C854" s="2">
        <v>45390</v>
      </c>
      <c r="D854" t="s">
        <v>2638</v>
      </c>
      <c r="E854" t="s">
        <v>71</v>
      </c>
      <c r="F854" t="s">
        <v>33</v>
      </c>
      <c r="G854" t="s">
        <v>47</v>
      </c>
      <c r="H854" t="s">
        <v>175</v>
      </c>
      <c r="I854" t="s">
        <v>176</v>
      </c>
      <c r="J854" t="s">
        <v>50</v>
      </c>
      <c r="K854" t="s">
        <v>51</v>
      </c>
      <c r="L854" t="s">
        <v>2639</v>
      </c>
      <c r="M854" t="s">
        <v>40</v>
      </c>
      <c r="N854">
        <v>7</v>
      </c>
      <c r="O854">
        <v>4205.3500000000004</v>
      </c>
      <c r="P854" s="3">
        <v>0.15</v>
      </c>
      <c r="Q854">
        <v>25021.83</v>
      </c>
      <c r="R854">
        <v>15544.44</v>
      </c>
      <c r="S854">
        <v>9477.39</v>
      </c>
      <c r="T854" t="s">
        <v>120</v>
      </c>
      <c r="U854" t="s">
        <v>77</v>
      </c>
      <c r="V854" s="3">
        <f t="shared" si="117"/>
        <v>0.15</v>
      </c>
      <c r="W854">
        <f t="shared" si="118"/>
        <v>25021.832500000004</v>
      </c>
      <c r="X854">
        <f t="shared" si="119"/>
        <v>9477.3925000000036</v>
      </c>
      <c r="Y854" s="4">
        <f t="shared" si="120"/>
        <v>0.37876492459135447</v>
      </c>
      <c r="Z854">
        <f t="shared" si="121"/>
        <v>7</v>
      </c>
      <c r="AA854">
        <f t="shared" si="122"/>
        <v>4</v>
      </c>
      <c r="AB854">
        <f t="shared" si="123"/>
        <v>2024</v>
      </c>
      <c r="AC854" t="str">
        <f t="shared" si="124"/>
        <v>Unique</v>
      </c>
      <c r="AD854" t="str">
        <f t="shared" si="125"/>
        <v>Warning</v>
      </c>
    </row>
    <row r="855" spans="1:30" x14ac:dyDescent="0.3">
      <c r="A855" t="s">
        <v>2640</v>
      </c>
      <c r="B855" s="2">
        <v>45793</v>
      </c>
      <c r="C855" s="2">
        <v>45799</v>
      </c>
      <c r="D855" t="s">
        <v>2641</v>
      </c>
      <c r="E855" t="s">
        <v>62</v>
      </c>
      <c r="F855" t="s">
        <v>99</v>
      </c>
      <c r="G855" t="s">
        <v>63</v>
      </c>
      <c r="H855" t="s">
        <v>257</v>
      </c>
      <c r="I855" t="s">
        <v>258</v>
      </c>
      <c r="J855" t="s">
        <v>83</v>
      </c>
      <c r="K855" t="s">
        <v>84</v>
      </c>
      <c r="L855" t="s">
        <v>2642</v>
      </c>
      <c r="M855" t="s">
        <v>53</v>
      </c>
      <c r="N855">
        <v>8</v>
      </c>
      <c r="O855">
        <v>579.79999999999995</v>
      </c>
      <c r="P855" s="3">
        <v>0.2</v>
      </c>
      <c r="Q855">
        <v>3710.72</v>
      </c>
      <c r="R855">
        <v>3115.29</v>
      </c>
      <c r="S855">
        <v>595.42999999999995</v>
      </c>
      <c r="T855" t="s">
        <v>41</v>
      </c>
      <c r="U855" t="s">
        <v>42</v>
      </c>
      <c r="V855" s="3">
        <f t="shared" si="117"/>
        <v>0.2</v>
      </c>
      <c r="W855">
        <f t="shared" si="118"/>
        <v>3710.72</v>
      </c>
      <c r="X855">
        <f t="shared" si="119"/>
        <v>595.42999999999984</v>
      </c>
      <c r="Y855" s="4">
        <f t="shared" si="120"/>
        <v>0.16046212055881334</v>
      </c>
      <c r="Z855">
        <f t="shared" si="121"/>
        <v>6</v>
      </c>
      <c r="AA855">
        <f t="shared" si="122"/>
        <v>5</v>
      </c>
      <c r="AB855">
        <f t="shared" si="123"/>
        <v>2025</v>
      </c>
      <c r="AC855" t="str">
        <f t="shared" si="124"/>
        <v>Unique</v>
      </c>
      <c r="AD855" t="str">
        <f t="shared" si="125"/>
        <v>Clean</v>
      </c>
    </row>
    <row r="856" spans="1:30" x14ac:dyDescent="0.3">
      <c r="A856" t="s">
        <v>2643</v>
      </c>
      <c r="B856" s="2">
        <v>45741</v>
      </c>
      <c r="C856" s="2">
        <v>45749</v>
      </c>
      <c r="D856" t="s">
        <v>2644</v>
      </c>
      <c r="E856" t="s">
        <v>123</v>
      </c>
      <c r="F856" t="s">
        <v>33</v>
      </c>
      <c r="G856" t="s">
        <v>63</v>
      </c>
      <c r="H856" t="s">
        <v>184</v>
      </c>
      <c r="I856" t="s">
        <v>185</v>
      </c>
      <c r="J856" t="s">
        <v>50</v>
      </c>
      <c r="K856" t="s">
        <v>167</v>
      </c>
      <c r="L856" t="s">
        <v>2645</v>
      </c>
      <c r="M856" t="s">
        <v>40</v>
      </c>
      <c r="N856">
        <v>4</v>
      </c>
      <c r="O856">
        <v>2233.64</v>
      </c>
      <c r="P856" s="3">
        <v>0.05</v>
      </c>
      <c r="Q856">
        <v>8487.83</v>
      </c>
      <c r="R856">
        <v>5245.72</v>
      </c>
      <c r="S856">
        <v>3242.11</v>
      </c>
      <c r="T856" t="s">
        <v>41</v>
      </c>
      <c r="U856" t="s">
        <v>42</v>
      </c>
      <c r="V856" s="3">
        <f t="shared" si="117"/>
        <v>0.05</v>
      </c>
      <c r="W856">
        <f t="shared" si="118"/>
        <v>8487.8319999999985</v>
      </c>
      <c r="X856">
        <f t="shared" si="119"/>
        <v>3242.1119999999983</v>
      </c>
      <c r="Y856" s="4">
        <f t="shared" si="120"/>
        <v>0.38197174496384928</v>
      </c>
      <c r="Z856">
        <f t="shared" si="121"/>
        <v>8</v>
      </c>
      <c r="AA856">
        <f t="shared" si="122"/>
        <v>3</v>
      </c>
      <c r="AB856">
        <f t="shared" si="123"/>
        <v>2025</v>
      </c>
      <c r="AC856" t="str">
        <f t="shared" si="124"/>
        <v>Unique</v>
      </c>
      <c r="AD856" t="str">
        <f t="shared" si="125"/>
        <v>Clean</v>
      </c>
    </row>
    <row r="857" spans="1:30" x14ac:dyDescent="0.3">
      <c r="A857" t="s">
        <v>2646</v>
      </c>
      <c r="B857" s="2">
        <v>45498</v>
      </c>
      <c r="C857" s="2">
        <v>45506</v>
      </c>
      <c r="D857" t="s">
        <v>1132</v>
      </c>
      <c r="E857" t="s">
        <v>127</v>
      </c>
      <c r="F857" t="s">
        <v>33</v>
      </c>
      <c r="G857" t="s">
        <v>34</v>
      </c>
      <c r="H857" t="s">
        <v>35</v>
      </c>
      <c r="I857" t="s">
        <v>36</v>
      </c>
      <c r="J857" t="s">
        <v>37</v>
      </c>
      <c r="K857" t="s">
        <v>100</v>
      </c>
      <c r="L857" t="s">
        <v>2647</v>
      </c>
      <c r="M857" t="s">
        <v>40</v>
      </c>
      <c r="N857">
        <v>2</v>
      </c>
      <c r="O857">
        <v>2073.5300000000002</v>
      </c>
      <c r="P857" s="3">
        <v>0.25</v>
      </c>
      <c r="Q857">
        <v>3110.3</v>
      </c>
      <c r="R857">
        <v>2101.0300000000002</v>
      </c>
      <c r="S857">
        <v>1009.27</v>
      </c>
      <c r="T857" t="s">
        <v>41</v>
      </c>
      <c r="U857" t="s">
        <v>42</v>
      </c>
      <c r="V857" s="3">
        <f t="shared" si="117"/>
        <v>0.25</v>
      </c>
      <c r="W857">
        <f t="shared" si="118"/>
        <v>3110.2950000000001</v>
      </c>
      <c r="X857">
        <f t="shared" si="119"/>
        <v>1009.2649999999999</v>
      </c>
      <c r="Y857" s="4">
        <f t="shared" si="120"/>
        <v>0.32449172827657824</v>
      </c>
      <c r="Z857">
        <f t="shared" si="121"/>
        <v>8</v>
      </c>
      <c r="AA857">
        <f t="shared" si="122"/>
        <v>7</v>
      </c>
      <c r="AB857">
        <f t="shared" si="123"/>
        <v>2024</v>
      </c>
      <c r="AC857" t="str">
        <f t="shared" si="124"/>
        <v>Unique</v>
      </c>
      <c r="AD857" t="str">
        <f t="shared" si="125"/>
        <v>Clean</v>
      </c>
    </row>
    <row r="858" spans="1:30" x14ac:dyDescent="0.3">
      <c r="A858" t="s">
        <v>2648</v>
      </c>
      <c r="B858" s="2">
        <v>45455</v>
      </c>
      <c r="C858" s="2">
        <v>45462</v>
      </c>
      <c r="D858" t="s">
        <v>1310</v>
      </c>
      <c r="E858" t="s">
        <v>150</v>
      </c>
      <c r="F858" t="s">
        <v>104</v>
      </c>
      <c r="G858" t="s">
        <v>63</v>
      </c>
      <c r="H858" t="s">
        <v>257</v>
      </c>
      <c r="I858" t="s">
        <v>258</v>
      </c>
      <c r="J858" t="s">
        <v>37</v>
      </c>
      <c r="K858" t="s">
        <v>133</v>
      </c>
      <c r="L858" t="s">
        <v>2649</v>
      </c>
      <c r="M858" t="s">
        <v>68</v>
      </c>
      <c r="N858">
        <v>4</v>
      </c>
      <c r="O858">
        <v>395.1</v>
      </c>
      <c r="P858" s="3">
        <v>-0.16</v>
      </c>
      <c r="Q858">
        <v>1185.3</v>
      </c>
      <c r="R858">
        <v>966.55</v>
      </c>
      <c r="S858">
        <v>218.75</v>
      </c>
      <c r="T858" t="s">
        <v>164</v>
      </c>
      <c r="U858" t="s">
        <v>77</v>
      </c>
      <c r="V858" s="3">
        <f t="shared" si="117"/>
        <v>0.16</v>
      </c>
      <c r="W858">
        <f t="shared" si="118"/>
        <v>1327.5360000000001</v>
      </c>
      <c r="X858">
        <f t="shared" si="119"/>
        <v>360.9860000000001</v>
      </c>
      <c r="Y858" s="4">
        <f t="shared" si="120"/>
        <v>0.27192181605621246</v>
      </c>
      <c r="Z858">
        <f t="shared" si="121"/>
        <v>7</v>
      </c>
      <c r="AA858">
        <f t="shared" si="122"/>
        <v>6</v>
      </c>
      <c r="AB858">
        <f t="shared" si="123"/>
        <v>2024</v>
      </c>
      <c r="AC858" t="str">
        <f t="shared" si="124"/>
        <v>Unique</v>
      </c>
      <c r="AD858" t="str">
        <f t="shared" si="125"/>
        <v>Invalid</v>
      </c>
    </row>
    <row r="859" spans="1:30" x14ac:dyDescent="0.3">
      <c r="A859" t="s">
        <v>2650</v>
      </c>
      <c r="B859" s="2">
        <v>45447</v>
      </c>
      <c r="C859" s="2">
        <v>45447</v>
      </c>
      <c r="D859" t="s">
        <v>2157</v>
      </c>
      <c r="E859" t="s">
        <v>141</v>
      </c>
      <c r="F859" t="s">
        <v>104</v>
      </c>
      <c r="G859" t="s">
        <v>63</v>
      </c>
      <c r="H859" t="s">
        <v>194</v>
      </c>
      <c r="I859" t="s">
        <v>195</v>
      </c>
      <c r="J859" t="s">
        <v>37</v>
      </c>
      <c r="K859" t="s">
        <v>133</v>
      </c>
      <c r="L859" t="s">
        <v>2651</v>
      </c>
      <c r="M859" t="s">
        <v>59</v>
      </c>
      <c r="N859">
        <v>6</v>
      </c>
      <c r="O859">
        <v>2708.97</v>
      </c>
      <c r="P859" s="3">
        <v>0.25</v>
      </c>
      <c r="Q859">
        <v>12190.36</v>
      </c>
      <c r="R859">
        <v>10176.99</v>
      </c>
      <c r="S859">
        <v>2013.37</v>
      </c>
      <c r="T859" t="s">
        <v>41</v>
      </c>
      <c r="U859" t="s">
        <v>42</v>
      </c>
      <c r="V859" s="3">
        <f t="shared" si="117"/>
        <v>0.25</v>
      </c>
      <c r="W859">
        <f t="shared" si="118"/>
        <v>12190.365</v>
      </c>
      <c r="X859">
        <f t="shared" si="119"/>
        <v>2013.375</v>
      </c>
      <c r="Y859" s="4">
        <f t="shared" si="120"/>
        <v>0.16516117441930575</v>
      </c>
      <c r="Z859">
        <f t="shared" si="121"/>
        <v>0</v>
      </c>
      <c r="AA859">
        <f t="shared" si="122"/>
        <v>6</v>
      </c>
      <c r="AB859">
        <f t="shared" si="123"/>
        <v>2024</v>
      </c>
      <c r="AC859" t="str">
        <f t="shared" si="124"/>
        <v>Unique</v>
      </c>
      <c r="AD859" t="str">
        <f t="shared" si="125"/>
        <v>Clean</v>
      </c>
    </row>
    <row r="860" spans="1:30" x14ac:dyDescent="0.3">
      <c r="A860" t="s">
        <v>2652</v>
      </c>
      <c r="B860" s="2">
        <v>45414</v>
      </c>
      <c r="C860" s="2">
        <v>45421</v>
      </c>
      <c r="D860" t="s">
        <v>2653</v>
      </c>
      <c r="E860" t="s">
        <v>62</v>
      </c>
      <c r="F860" t="s">
        <v>33</v>
      </c>
      <c r="G860" t="s">
        <v>47</v>
      </c>
      <c r="H860" t="s">
        <v>48</v>
      </c>
      <c r="I860" t="s">
        <v>49</v>
      </c>
      <c r="J860" t="s">
        <v>83</v>
      </c>
      <c r="K860" t="s">
        <v>84</v>
      </c>
      <c r="L860" t="s">
        <v>2654</v>
      </c>
      <c r="M860" t="s">
        <v>40</v>
      </c>
      <c r="N860">
        <v>4</v>
      </c>
      <c r="O860">
        <v>2904.86</v>
      </c>
      <c r="P860" s="3">
        <v>0</v>
      </c>
      <c r="Q860">
        <v>11619.44</v>
      </c>
      <c r="R860">
        <v>7184.32</v>
      </c>
      <c r="S860">
        <v>4494.6400000000003</v>
      </c>
      <c r="T860" t="s">
        <v>41</v>
      </c>
      <c r="U860" t="s">
        <v>42</v>
      </c>
      <c r="V860" s="3">
        <f t="shared" si="117"/>
        <v>0</v>
      </c>
      <c r="W860">
        <f t="shared" si="118"/>
        <v>11619.44</v>
      </c>
      <c r="X860">
        <f t="shared" si="119"/>
        <v>4435.1200000000008</v>
      </c>
      <c r="Y860" s="4">
        <f t="shared" si="120"/>
        <v>0.3816982574031107</v>
      </c>
      <c r="Z860">
        <f t="shared" si="121"/>
        <v>7</v>
      </c>
      <c r="AA860">
        <f t="shared" si="122"/>
        <v>5</v>
      </c>
      <c r="AB860">
        <f t="shared" si="123"/>
        <v>2024</v>
      </c>
      <c r="AC860" t="str">
        <f t="shared" si="124"/>
        <v>Unique</v>
      </c>
      <c r="AD860" t="str">
        <f t="shared" si="125"/>
        <v>Clean</v>
      </c>
    </row>
    <row r="861" spans="1:30" x14ac:dyDescent="0.3">
      <c r="A861" t="s">
        <v>2655</v>
      </c>
      <c r="B861" s="2">
        <v>45592</v>
      </c>
      <c r="C861" s="2">
        <v>45597</v>
      </c>
      <c r="D861" t="s">
        <v>2656</v>
      </c>
      <c r="E861" t="s">
        <v>98</v>
      </c>
      <c r="F861" t="s">
        <v>99</v>
      </c>
      <c r="G861" t="s">
        <v>63</v>
      </c>
      <c r="H861" t="s">
        <v>257</v>
      </c>
      <c r="I861" t="s">
        <v>258</v>
      </c>
      <c r="J861" t="s">
        <v>83</v>
      </c>
      <c r="K861" t="s">
        <v>180</v>
      </c>
      <c r="L861" t="s">
        <v>2657</v>
      </c>
      <c r="M861" t="s">
        <v>68</v>
      </c>
      <c r="N861">
        <v>6</v>
      </c>
      <c r="O861">
        <v>4399.2</v>
      </c>
      <c r="P861" s="3">
        <v>0.05</v>
      </c>
      <c r="Q861">
        <v>25075.439999999999</v>
      </c>
      <c r="R861">
        <v>16282.74</v>
      </c>
      <c r="S861">
        <v>8792.7000000000007</v>
      </c>
      <c r="T861" t="s">
        <v>41</v>
      </c>
      <c r="U861" t="s">
        <v>42</v>
      </c>
      <c r="V861" s="3">
        <f t="shared" si="117"/>
        <v>0.05</v>
      </c>
      <c r="W861">
        <f t="shared" si="118"/>
        <v>25075.439999999995</v>
      </c>
      <c r="X861">
        <f t="shared" si="119"/>
        <v>8792.6999999999953</v>
      </c>
      <c r="Y861" s="4">
        <f t="shared" si="120"/>
        <v>0.35064987892535471</v>
      </c>
      <c r="Z861">
        <f t="shared" si="121"/>
        <v>5</v>
      </c>
      <c r="AA861">
        <f t="shared" si="122"/>
        <v>10</v>
      </c>
      <c r="AB861">
        <f t="shared" si="123"/>
        <v>2024</v>
      </c>
      <c r="AC861" t="str">
        <f t="shared" si="124"/>
        <v>Unique</v>
      </c>
      <c r="AD861" t="str">
        <f t="shared" si="125"/>
        <v>Clean</v>
      </c>
    </row>
    <row r="862" spans="1:30" x14ac:dyDescent="0.3">
      <c r="A862" t="s">
        <v>2658</v>
      </c>
      <c r="B862" s="2">
        <v>45324</v>
      </c>
      <c r="C862" s="2">
        <v>45326</v>
      </c>
      <c r="D862" t="s">
        <v>2659</v>
      </c>
      <c r="E862" t="s">
        <v>80</v>
      </c>
      <c r="F862" t="s">
        <v>104</v>
      </c>
      <c r="G862" t="s">
        <v>34</v>
      </c>
      <c r="H862" t="s">
        <v>145</v>
      </c>
      <c r="I862" t="s">
        <v>146</v>
      </c>
      <c r="J862" t="s">
        <v>37</v>
      </c>
      <c r="K862" t="s">
        <v>133</v>
      </c>
      <c r="L862" t="s">
        <v>2660</v>
      </c>
      <c r="M862" t="s">
        <v>40</v>
      </c>
      <c r="N862">
        <v>1</v>
      </c>
      <c r="O862">
        <v>4397.32</v>
      </c>
      <c r="P862" s="3">
        <v>0.05</v>
      </c>
      <c r="Q862">
        <v>4177.45</v>
      </c>
      <c r="R862">
        <v>2299.5</v>
      </c>
      <c r="S862">
        <v>1877.95</v>
      </c>
      <c r="T862" t="s">
        <v>41</v>
      </c>
      <c r="U862" t="s">
        <v>42</v>
      </c>
      <c r="V862" s="3">
        <f t="shared" si="117"/>
        <v>0.05</v>
      </c>
      <c r="W862">
        <f t="shared" si="118"/>
        <v>4177.4539999999997</v>
      </c>
      <c r="X862">
        <f t="shared" si="119"/>
        <v>1877.9539999999997</v>
      </c>
      <c r="Y862" s="4">
        <f t="shared" si="120"/>
        <v>0.44954510570313877</v>
      </c>
      <c r="Z862">
        <f t="shared" si="121"/>
        <v>2</v>
      </c>
      <c r="AA862">
        <f t="shared" si="122"/>
        <v>2</v>
      </c>
      <c r="AB862">
        <f t="shared" si="123"/>
        <v>2024</v>
      </c>
      <c r="AC862" t="str">
        <f t="shared" si="124"/>
        <v>Unique</v>
      </c>
      <c r="AD862" t="str">
        <f t="shared" si="125"/>
        <v>Clean</v>
      </c>
    </row>
    <row r="863" spans="1:30" x14ac:dyDescent="0.3">
      <c r="A863" t="s">
        <v>2661</v>
      </c>
      <c r="B863" s="2">
        <v>45724</v>
      </c>
      <c r="C863" s="2">
        <v>45725</v>
      </c>
      <c r="D863" t="s">
        <v>2662</v>
      </c>
      <c r="E863" t="s">
        <v>123</v>
      </c>
      <c r="F863" t="s">
        <v>104</v>
      </c>
      <c r="G863" t="s">
        <v>34</v>
      </c>
      <c r="H863" t="s">
        <v>360</v>
      </c>
      <c r="I863" t="s">
        <v>361</v>
      </c>
      <c r="J863" t="s">
        <v>50</v>
      </c>
      <c r="K863" t="s">
        <v>66</v>
      </c>
      <c r="L863" t="s">
        <v>2663</v>
      </c>
      <c r="M863" t="s">
        <v>53</v>
      </c>
      <c r="N863">
        <v>4</v>
      </c>
      <c r="O863">
        <v>3405.68</v>
      </c>
      <c r="P863" s="3">
        <v>0.2</v>
      </c>
      <c r="Q863">
        <v>10898.18</v>
      </c>
      <c r="R863">
        <v>6231.41</v>
      </c>
      <c r="S863">
        <v>4666.7700000000004</v>
      </c>
      <c r="T863" t="s">
        <v>41</v>
      </c>
      <c r="U863" t="s">
        <v>42</v>
      </c>
      <c r="V863" s="3">
        <f t="shared" si="117"/>
        <v>0.2</v>
      </c>
      <c r="W863">
        <f t="shared" si="118"/>
        <v>10898.175999999999</v>
      </c>
      <c r="X863">
        <f t="shared" si="119"/>
        <v>4666.7659999999996</v>
      </c>
      <c r="Y863" s="4">
        <f t="shared" si="120"/>
        <v>0.42821532704188298</v>
      </c>
      <c r="Z863">
        <f t="shared" si="121"/>
        <v>1</v>
      </c>
      <c r="AA863">
        <f t="shared" si="122"/>
        <v>3</v>
      </c>
      <c r="AB863">
        <f t="shared" si="123"/>
        <v>2025</v>
      </c>
      <c r="AC863" t="str">
        <f t="shared" si="124"/>
        <v>Unique</v>
      </c>
      <c r="AD863" t="str">
        <f t="shared" si="125"/>
        <v>Clean</v>
      </c>
    </row>
    <row r="864" spans="1:30" x14ac:dyDescent="0.3">
      <c r="A864" t="s">
        <v>2664</v>
      </c>
      <c r="B864" s="2">
        <v>45742</v>
      </c>
      <c r="C864" s="2">
        <v>45747</v>
      </c>
      <c r="D864" t="s">
        <v>2665</v>
      </c>
      <c r="E864" t="s">
        <v>123</v>
      </c>
      <c r="F864" t="s">
        <v>46</v>
      </c>
      <c r="G864" t="s">
        <v>47</v>
      </c>
      <c r="H864" t="s">
        <v>238</v>
      </c>
      <c r="I864" t="s">
        <v>239</v>
      </c>
      <c r="J864" t="s">
        <v>37</v>
      </c>
      <c r="K864" t="s">
        <v>162</v>
      </c>
      <c r="L864" t="s">
        <v>2666</v>
      </c>
      <c r="M864" t="s">
        <v>59</v>
      </c>
      <c r="N864">
        <v>5</v>
      </c>
      <c r="O864">
        <v>1395.14</v>
      </c>
      <c r="P864" s="3">
        <v>0</v>
      </c>
      <c r="Q864">
        <v>6975.7</v>
      </c>
      <c r="R864">
        <v>4797.88</v>
      </c>
      <c r="S864">
        <v>2177.8200000000002</v>
      </c>
      <c r="T864" t="s">
        <v>41</v>
      </c>
      <c r="U864" t="s">
        <v>77</v>
      </c>
      <c r="V864" s="3">
        <f t="shared" si="117"/>
        <v>0</v>
      </c>
      <c r="W864">
        <f t="shared" si="118"/>
        <v>6975.7000000000007</v>
      </c>
      <c r="X864">
        <f t="shared" si="119"/>
        <v>2177.8200000000006</v>
      </c>
      <c r="Y864" s="4">
        <f t="shared" si="120"/>
        <v>0.3122009260719355</v>
      </c>
      <c r="Z864">
        <f t="shared" si="121"/>
        <v>5</v>
      </c>
      <c r="AA864">
        <f t="shared" si="122"/>
        <v>3</v>
      </c>
      <c r="AB864">
        <f t="shared" si="123"/>
        <v>2025</v>
      </c>
      <c r="AC864" t="str">
        <f t="shared" si="124"/>
        <v>Unique</v>
      </c>
      <c r="AD864" t="str">
        <f t="shared" si="125"/>
        <v>Warning</v>
      </c>
    </row>
    <row r="865" spans="1:30" x14ac:dyDescent="0.3">
      <c r="A865" t="s">
        <v>2667</v>
      </c>
      <c r="B865" s="2">
        <v>45906</v>
      </c>
      <c r="C865" s="2">
        <v>45908</v>
      </c>
      <c r="D865" t="s">
        <v>2668</v>
      </c>
      <c r="E865" t="s">
        <v>137</v>
      </c>
      <c r="F865" t="s">
        <v>104</v>
      </c>
      <c r="G865" t="s">
        <v>72</v>
      </c>
      <c r="H865" t="s">
        <v>81</v>
      </c>
      <c r="I865" t="s">
        <v>82</v>
      </c>
      <c r="J865" t="s">
        <v>50</v>
      </c>
      <c r="K865" t="s">
        <v>66</v>
      </c>
      <c r="L865" t="s">
        <v>2669</v>
      </c>
      <c r="M865" t="s">
        <v>53</v>
      </c>
      <c r="N865">
        <v>3</v>
      </c>
      <c r="O865">
        <v>2937.23</v>
      </c>
      <c r="P865" s="3">
        <v>0</v>
      </c>
      <c r="Q865">
        <v>8811.69</v>
      </c>
      <c r="R865">
        <v>6765.91</v>
      </c>
      <c r="S865">
        <v>2045.78</v>
      </c>
      <c r="T865" t="s">
        <v>41</v>
      </c>
      <c r="U865" t="s">
        <v>42</v>
      </c>
      <c r="V865" s="3">
        <f t="shared" si="117"/>
        <v>0</v>
      </c>
      <c r="W865">
        <f t="shared" si="118"/>
        <v>8811.69</v>
      </c>
      <c r="X865">
        <f t="shared" si="119"/>
        <v>2045.7800000000007</v>
      </c>
      <c r="Y865" s="4">
        <f t="shared" si="120"/>
        <v>0.23216658779416893</v>
      </c>
      <c r="Z865">
        <f t="shared" si="121"/>
        <v>2</v>
      </c>
      <c r="AA865">
        <f t="shared" si="122"/>
        <v>9</v>
      </c>
      <c r="AB865">
        <f t="shared" si="123"/>
        <v>2025</v>
      </c>
      <c r="AC865" t="str">
        <f t="shared" si="124"/>
        <v>Unique</v>
      </c>
      <c r="AD865" t="str">
        <f t="shared" si="125"/>
        <v>Clean</v>
      </c>
    </row>
    <row r="866" spans="1:30" x14ac:dyDescent="0.3">
      <c r="A866" t="s">
        <v>2670</v>
      </c>
      <c r="B866" s="2">
        <v>45902</v>
      </c>
      <c r="C866" s="2">
        <v>45905</v>
      </c>
      <c r="D866" t="s">
        <v>2671</v>
      </c>
      <c r="E866" t="s">
        <v>80</v>
      </c>
      <c r="F866" t="s">
        <v>33</v>
      </c>
      <c r="G866" t="s">
        <v>63</v>
      </c>
      <c r="H866" t="s">
        <v>257</v>
      </c>
      <c r="I866" t="s">
        <v>258</v>
      </c>
      <c r="J866" t="s">
        <v>83</v>
      </c>
      <c r="K866" t="s">
        <v>180</v>
      </c>
      <c r="L866" t="s">
        <v>2672</v>
      </c>
      <c r="M866" t="s">
        <v>59</v>
      </c>
      <c r="N866">
        <v>5</v>
      </c>
      <c r="O866">
        <v>3406.87</v>
      </c>
      <c r="P866" s="3">
        <v>0</v>
      </c>
      <c r="Q866">
        <v>17034.349999999999</v>
      </c>
      <c r="R866">
        <v>14631.36</v>
      </c>
      <c r="S866">
        <v>2402.9899999999998</v>
      </c>
      <c r="T866" t="s">
        <v>41</v>
      </c>
      <c r="U866" t="s">
        <v>42</v>
      </c>
      <c r="V866" s="3">
        <f t="shared" si="117"/>
        <v>0</v>
      </c>
      <c r="W866">
        <f t="shared" si="118"/>
        <v>17034.349999999999</v>
      </c>
      <c r="X866">
        <f t="shared" si="119"/>
        <v>2402.989999999998</v>
      </c>
      <c r="Y866" s="4">
        <f t="shared" si="120"/>
        <v>0.14106731398615141</v>
      </c>
      <c r="Z866">
        <f t="shared" si="121"/>
        <v>3</v>
      </c>
      <c r="AA866">
        <f t="shared" si="122"/>
        <v>9</v>
      </c>
      <c r="AB866">
        <f t="shared" si="123"/>
        <v>2025</v>
      </c>
      <c r="AC866" t="str">
        <f t="shared" si="124"/>
        <v>Unique</v>
      </c>
      <c r="AD866" t="str">
        <f t="shared" si="125"/>
        <v>Clean</v>
      </c>
    </row>
    <row r="867" spans="1:30" x14ac:dyDescent="0.3">
      <c r="A867" t="s">
        <v>2673</v>
      </c>
      <c r="B867" s="2">
        <v>45694</v>
      </c>
      <c r="C867" s="2">
        <v>45702</v>
      </c>
      <c r="D867" t="s">
        <v>2674</v>
      </c>
      <c r="E867" t="s">
        <v>274</v>
      </c>
      <c r="F867" t="s">
        <v>33</v>
      </c>
      <c r="G867" t="s">
        <v>72</v>
      </c>
      <c r="H867" t="s">
        <v>73</v>
      </c>
      <c r="I867" t="s">
        <v>74</v>
      </c>
      <c r="J867" t="s">
        <v>37</v>
      </c>
      <c r="K867" t="s">
        <v>100</v>
      </c>
      <c r="L867" t="s">
        <v>2675</v>
      </c>
      <c r="M867" t="s">
        <v>40</v>
      </c>
      <c r="N867">
        <v>2</v>
      </c>
      <c r="O867">
        <v>3992.04</v>
      </c>
      <c r="P867" s="3">
        <v>0</v>
      </c>
      <c r="Q867">
        <v>7984.08</v>
      </c>
      <c r="R867">
        <v>5658.05</v>
      </c>
      <c r="S867">
        <v>2326.0300000000002</v>
      </c>
      <c r="T867" t="s">
        <v>41</v>
      </c>
      <c r="U867" t="s">
        <v>42</v>
      </c>
      <c r="V867" s="3">
        <f t="shared" si="117"/>
        <v>0</v>
      </c>
      <c r="W867">
        <f t="shared" si="118"/>
        <v>7984.08</v>
      </c>
      <c r="X867">
        <f t="shared" si="119"/>
        <v>2326.0299999999997</v>
      </c>
      <c r="Y867" s="4">
        <f t="shared" si="120"/>
        <v>0.29133350367230787</v>
      </c>
      <c r="Z867">
        <f t="shared" si="121"/>
        <v>8</v>
      </c>
      <c r="AA867">
        <f t="shared" si="122"/>
        <v>2</v>
      </c>
      <c r="AB867">
        <f t="shared" si="123"/>
        <v>2025</v>
      </c>
      <c r="AC867" t="str">
        <f t="shared" si="124"/>
        <v>Unique</v>
      </c>
      <c r="AD867" t="str">
        <f t="shared" si="125"/>
        <v>Clean</v>
      </c>
    </row>
    <row r="868" spans="1:30" x14ac:dyDescent="0.3">
      <c r="A868" t="s">
        <v>2676</v>
      </c>
      <c r="B868" s="2">
        <v>45714</v>
      </c>
      <c r="C868" s="2">
        <v>45722</v>
      </c>
      <c r="D868" t="s">
        <v>2677</v>
      </c>
      <c r="E868" t="s">
        <v>123</v>
      </c>
      <c r="F868" t="s">
        <v>33</v>
      </c>
      <c r="G868" t="s">
        <v>47</v>
      </c>
      <c r="H868" t="s">
        <v>154</v>
      </c>
      <c r="I868" t="s">
        <v>155</v>
      </c>
      <c r="J868" t="s">
        <v>50</v>
      </c>
      <c r="K868" t="s">
        <v>167</v>
      </c>
      <c r="L868" t="s">
        <v>2678</v>
      </c>
      <c r="M868" t="s">
        <v>59</v>
      </c>
      <c r="N868">
        <v>9</v>
      </c>
      <c r="O868">
        <v>3043.37</v>
      </c>
      <c r="P868" s="3">
        <v>0.2</v>
      </c>
      <c r="Q868">
        <v>21912.26</v>
      </c>
      <c r="R868">
        <v>16367.78</v>
      </c>
      <c r="S868">
        <v>5544.48</v>
      </c>
      <c r="T868" t="s">
        <v>120</v>
      </c>
      <c r="U868" t="s">
        <v>77</v>
      </c>
      <c r="V868" s="3">
        <f t="shared" si="117"/>
        <v>0.2</v>
      </c>
      <c r="W868">
        <f t="shared" si="118"/>
        <v>21912.263999999999</v>
      </c>
      <c r="X868">
        <f t="shared" si="119"/>
        <v>5544.4839999999986</v>
      </c>
      <c r="Y868" s="4">
        <f t="shared" si="120"/>
        <v>0.25303108797885965</v>
      </c>
      <c r="Z868">
        <f t="shared" si="121"/>
        <v>8</v>
      </c>
      <c r="AA868">
        <f t="shared" si="122"/>
        <v>2</v>
      </c>
      <c r="AB868">
        <f t="shared" si="123"/>
        <v>2025</v>
      </c>
      <c r="AC868" t="str">
        <f t="shared" si="124"/>
        <v>Unique</v>
      </c>
      <c r="AD868" t="str">
        <f t="shared" si="125"/>
        <v>Warning</v>
      </c>
    </row>
    <row r="869" spans="1:30" x14ac:dyDescent="0.3">
      <c r="A869" t="s">
        <v>2679</v>
      </c>
      <c r="B869" s="2">
        <v>45617</v>
      </c>
      <c r="C869" s="2">
        <v>45618</v>
      </c>
      <c r="D869" t="s">
        <v>2680</v>
      </c>
      <c r="E869" t="s">
        <v>127</v>
      </c>
      <c r="F869" t="s">
        <v>104</v>
      </c>
      <c r="G869" t="s">
        <v>63</v>
      </c>
      <c r="H869" t="s">
        <v>93</v>
      </c>
      <c r="I869" t="s">
        <v>94</v>
      </c>
      <c r="J869" t="s">
        <v>83</v>
      </c>
      <c r="K869" t="s">
        <v>84</v>
      </c>
      <c r="L869" t="s">
        <v>2681</v>
      </c>
      <c r="M869" t="s">
        <v>53</v>
      </c>
      <c r="N869">
        <v>6</v>
      </c>
      <c r="O869">
        <v>1043.49</v>
      </c>
      <c r="P869" s="3">
        <v>0.25</v>
      </c>
      <c r="Q869">
        <v>4695.7</v>
      </c>
      <c r="R869">
        <v>3871.69</v>
      </c>
      <c r="S869">
        <v>824.01</v>
      </c>
      <c r="T869" t="s">
        <v>164</v>
      </c>
      <c r="U869" t="s">
        <v>77</v>
      </c>
      <c r="V869" s="3">
        <f t="shared" si="117"/>
        <v>0.25</v>
      </c>
      <c r="W869">
        <f t="shared" si="118"/>
        <v>4695.7049999999999</v>
      </c>
      <c r="X869">
        <f t="shared" si="119"/>
        <v>824.01499999999987</v>
      </c>
      <c r="Y869" s="4">
        <f t="shared" si="120"/>
        <v>0.17548270174553127</v>
      </c>
      <c r="Z869">
        <f t="shared" si="121"/>
        <v>1</v>
      </c>
      <c r="AA869">
        <f t="shared" si="122"/>
        <v>11</v>
      </c>
      <c r="AB869">
        <f t="shared" si="123"/>
        <v>2024</v>
      </c>
      <c r="AC869" t="str">
        <f t="shared" si="124"/>
        <v>Unique</v>
      </c>
      <c r="AD869" t="str">
        <f t="shared" si="125"/>
        <v>Warning</v>
      </c>
    </row>
    <row r="870" spans="1:30" x14ac:dyDescent="0.3">
      <c r="A870" t="s">
        <v>2682</v>
      </c>
      <c r="B870" s="2">
        <v>45758</v>
      </c>
      <c r="C870" s="2">
        <v>45762</v>
      </c>
      <c r="D870" t="s">
        <v>2683</v>
      </c>
      <c r="E870" t="s">
        <v>80</v>
      </c>
      <c r="F870" t="s">
        <v>104</v>
      </c>
      <c r="G870" t="s">
        <v>63</v>
      </c>
      <c r="H870" t="s">
        <v>184</v>
      </c>
      <c r="I870" t="s">
        <v>185</v>
      </c>
      <c r="J870" t="s">
        <v>37</v>
      </c>
      <c r="K870" t="s">
        <v>133</v>
      </c>
      <c r="L870" t="s">
        <v>2684</v>
      </c>
      <c r="M870" t="s">
        <v>53</v>
      </c>
      <c r="N870">
        <v>9</v>
      </c>
      <c r="O870">
        <v>224.94</v>
      </c>
      <c r="P870" s="3">
        <v>0.05</v>
      </c>
      <c r="Q870">
        <v>1923.24</v>
      </c>
      <c r="R870">
        <v>1093.6600000000001</v>
      </c>
      <c r="S870">
        <v>829.58</v>
      </c>
      <c r="T870" t="s">
        <v>41</v>
      </c>
      <c r="U870" t="s">
        <v>42</v>
      </c>
      <c r="V870" s="3">
        <f t="shared" si="117"/>
        <v>0.05</v>
      </c>
      <c r="W870">
        <f t="shared" si="118"/>
        <v>1923.2369999999999</v>
      </c>
      <c r="X870">
        <f t="shared" si="119"/>
        <v>829.57699999999977</v>
      </c>
      <c r="Y870" s="4">
        <f t="shared" si="120"/>
        <v>0.43134413491420964</v>
      </c>
      <c r="Z870">
        <f t="shared" si="121"/>
        <v>4</v>
      </c>
      <c r="AA870">
        <f t="shared" si="122"/>
        <v>4</v>
      </c>
      <c r="AB870">
        <f t="shared" si="123"/>
        <v>2025</v>
      </c>
      <c r="AC870" t="str">
        <f t="shared" si="124"/>
        <v>Unique</v>
      </c>
      <c r="AD870" t="str">
        <f t="shared" si="125"/>
        <v>Clean</v>
      </c>
    </row>
    <row r="871" spans="1:30" x14ac:dyDescent="0.3">
      <c r="A871" t="s">
        <v>2685</v>
      </c>
      <c r="B871" s="2">
        <v>45722</v>
      </c>
      <c r="C871" s="2">
        <v>45723</v>
      </c>
      <c r="D871" t="s">
        <v>2686</v>
      </c>
      <c r="E871" t="s">
        <v>150</v>
      </c>
      <c r="F871" t="s">
        <v>104</v>
      </c>
      <c r="G871" t="s">
        <v>214</v>
      </c>
      <c r="H871" t="s">
        <v>360</v>
      </c>
      <c r="I871" t="s">
        <v>361</v>
      </c>
      <c r="J871" t="s">
        <v>50</v>
      </c>
      <c r="K871" t="s">
        <v>75</v>
      </c>
      <c r="L871" t="s">
        <v>1157</v>
      </c>
      <c r="M871" t="s">
        <v>53</v>
      </c>
      <c r="N871">
        <v>6</v>
      </c>
      <c r="O871">
        <v>796.65</v>
      </c>
      <c r="P871" s="3">
        <v>0.1</v>
      </c>
      <c r="Q871">
        <v>4301.91</v>
      </c>
      <c r="R871">
        <v>2374.4</v>
      </c>
      <c r="S871">
        <v>1927.51</v>
      </c>
      <c r="T871" t="s">
        <v>41</v>
      </c>
      <c r="U871" t="s">
        <v>42</v>
      </c>
      <c r="V871" s="3">
        <f t="shared" si="117"/>
        <v>0.1</v>
      </c>
      <c r="W871">
        <f t="shared" si="118"/>
        <v>4301.91</v>
      </c>
      <c r="X871">
        <f t="shared" si="119"/>
        <v>1927.5099999999998</v>
      </c>
      <c r="Y871" s="4">
        <f t="shared" si="120"/>
        <v>0.44805911792668834</v>
      </c>
      <c r="Z871">
        <f t="shared" si="121"/>
        <v>1</v>
      </c>
      <c r="AA871">
        <f t="shared" si="122"/>
        <v>3</v>
      </c>
      <c r="AB871">
        <f t="shared" si="123"/>
        <v>2025</v>
      </c>
      <c r="AC871" t="str">
        <f t="shared" si="124"/>
        <v>Unique</v>
      </c>
      <c r="AD871" t="str">
        <f t="shared" si="125"/>
        <v>Warning</v>
      </c>
    </row>
    <row r="872" spans="1:30" x14ac:dyDescent="0.3">
      <c r="A872" t="s">
        <v>2687</v>
      </c>
      <c r="B872" s="2">
        <v>45814</v>
      </c>
      <c r="C872" s="2">
        <v>45815</v>
      </c>
      <c r="D872" t="s">
        <v>2688</v>
      </c>
      <c r="E872" t="s">
        <v>80</v>
      </c>
      <c r="F872" t="s">
        <v>99</v>
      </c>
      <c r="G872" t="s">
        <v>72</v>
      </c>
      <c r="H872" t="s">
        <v>199</v>
      </c>
      <c r="I872" t="s">
        <v>200</v>
      </c>
      <c r="J872" t="s">
        <v>50</v>
      </c>
      <c r="K872" t="s">
        <v>51</v>
      </c>
      <c r="L872" t="s">
        <v>2689</v>
      </c>
      <c r="M872" t="s">
        <v>68</v>
      </c>
      <c r="N872">
        <v>9</v>
      </c>
      <c r="O872">
        <v>2932.92</v>
      </c>
      <c r="P872" s="3">
        <v>0.15</v>
      </c>
      <c r="Q872">
        <v>22436.84</v>
      </c>
      <c r="R872">
        <v>17454.669999999998</v>
      </c>
      <c r="S872">
        <v>4982.17</v>
      </c>
      <c r="T872" t="s">
        <v>41</v>
      </c>
      <c r="U872" t="s">
        <v>77</v>
      </c>
      <c r="V872" s="3">
        <f t="shared" si="117"/>
        <v>0.15</v>
      </c>
      <c r="W872">
        <f t="shared" si="118"/>
        <v>22436.838</v>
      </c>
      <c r="X872">
        <f t="shared" si="119"/>
        <v>4982.1680000000015</v>
      </c>
      <c r="Y872" s="4">
        <f t="shared" si="120"/>
        <v>0.22205303617203109</v>
      </c>
      <c r="Z872">
        <f t="shared" si="121"/>
        <v>1</v>
      </c>
      <c r="AA872">
        <f t="shared" si="122"/>
        <v>6</v>
      </c>
      <c r="AB872">
        <f t="shared" si="123"/>
        <v>2025</v>
      </c>
      <c r="AC872" t="str">
        <f t="shared" si="124"/>
        <v>Unique</v>
      </c>
      <c r="AD872" t="str">
        <f t="shared" si="125"/>
        <v>Warning</v>
      </c>
    </row>
    <row r="873" spans="1:30" x14ac:dyDescent="0.3">
      <c r="A873" t="s">
        <v>2690</v>
      </c>
      <c r="B873" s="2">
        <v>45342</v>
      </c>
      <c r="C873" s="2">
        <v>45344</v>
      </c>
      <c r="D873" t="s">
        <v>2561</v>
      </c>
      <c r="E873" t="s">
        <v>88</v>
      </c>
      <c r="F873" t="s">
        <v>46</v>
      </c>
      <c r="G873" t="s">
        <v>63</v>
      </c>
      <c r="H873" t="s">
        <v>64</v>
      </c>
      <c r="I873" t="s">
        <v>65</v>
      </c>
      <c r="J873" t="s">
        <v>83</v>
      </c>
      <c r="K873" t="s">
        <v>84</v>
      </c>
      <c r="L873" t="s">
        <v>2691</v>
      </c>
      <c r="M873" t="s">
        <v>59</v>
      </c>
      <c r="N873">
        <v>9</v>
      </c>
      <c r="O873">
        <v>2186.23</v>
      </c>
      <c r="P873" s="3">
        <v>0</v>
      </c>
      <c r="Q873">
        <v>19676.07</v>
      </c>
      <c r="R873">
        <v>12458.62</v>
      </c>
      <c r="S873">
        <v>7217.45</v>
      </c>
      <c r="T873" t="s">
        <v>111</v>
      </c>
      <c r="U873" t="s">
        <v>77</v>
      </c>
      <c r="V873" s="3">
        <f t="shared" si="117"/>
        <v>0</v>
      </c>
      <c r="W873">
        <f t="shared" si="118"/>
        <v>19676.07</v>
      </c>
      <c r="X873">
        <f t="shared" si="119"/>
        <v>7217.4499999999989</v>
      </c>
      <c r="Y873" s="4">
        <f t="shared" si="120"/>
        <v>0.36681359641432454</v>
      </c>
      <c r="Z873">
        <f t="shared" si="121"/>
        <v>2</v>
      </c>
      <c r="AA873">
        <f t="shared" si="122"/>
        <v>2</v>
      </c>
      <c r="AB873">
        <f t="shared" si="123"/>
        <v>2024</v>
      </c>
      <c r="AC873" t="str">
        <f t="shared" si="124"/>
        <v>Unique</v>
      </c>
      <c r="AD873" t="str">
        <f t="shared" si="125"/>
        <v>Warning</v>
      </c>
    </row>
    <row r="874" spans="1:30" x14ac:dyDescent="0.3">
      <c r="A874" t="s">
        <v>2692</v>
      </c>
      <c r="B874" s="2">
        <v>45597</v>
      </c>
      <c r="C874" s="2">
        <v>45598</v>
      </c>
      <c r="D874" t="s">
        <v>1970</v>
      </c>
      <c r="E874" t="s">
        <v>32</v>
      </c>
      <c r="F874" t="s">
        <v>99</v>
      </c>
      <c r="G874" t="s">
        <v>47</v>
      </c>
      <c r="H874" t="s">
        <v>108</v>
      </c>
      <c r="I874" t="s">
        <v>109</v>
      </c>
      <c r="J874" t="s">
        <v>50</v>
      </c>
      <c r="K874" t="s">
        <v>66</v>
      </c>
      <c r="L874" t="s">
        <v>2693</v>
      </c>
      <c r="M874" t="s">
        <v>68</v>
      </c>
      <c r="N874">
        <v>5</v>
      </c>
      <c r="O874">
        <v>2212.02</v>
      </c>
      <c r="P874" s="3">
        <v>0.2</v>
      </c>
      <c r="Q874">
        <v>8848.08</v>
      </c>
      <c r="R874">
        <v>5691.56</v>
      </c>
      <c r="S874">
        <v>3156.52</v>
      </c>
      <c r="T874" t="s">
        <v>41</v>
      </c>
      <c r="U874" t="s">
        <v>42</v>
      </c>
      <c r="V874" s="3">
        <f t="shared" si="117"/>
        <v>0.2</v>
      </c>
      <c r="W874">
        <f t="shared" si="118"/>
        <v>8848.08</v>
      </c>
      <c r="X874">
        <f t="shared" si="119"/>
        <v>3156.5199999999995</v>
      </c>
      <c r="Y874" s="4">
        <f t="shared" si="120"/>
        <v>0.35674632236598219</v>
      </c>
      <c r="Z874">
        <f t="shared" si="121"/>
        <v>1</v>
      </c>
      <c r="AA874">
        <f t="shared" si="122"/>
        <v>11</v>
      </c>
      <c r="AB874">
        <f t="shared" si="123"/>
        <v>2024</v>
      </c>
      <c r="AC874" t="str">
        <f t="shared" si="124"/>
        <v>Unique</v>
      </c>
      <c r="AD874" t="str">
        <f t="shared" si="125"/>
        <v>Clean</v>
      </c>
    </row>
    <row r="875" spans="1:30" x14ac:dyDescent="0.3">
      <c r="A875" t="s">
        <v>2694</v>
      </c>
      <c r="B875" s="2">
        <v>45689</v>
      </c>
      <c r="C875" s="2">
        <v>45696</v>
      </c>
      <c r="D875" t="s">
        <v>2695</v>
      </c>
      <c r="E875" t="s">
        <v>98</v>
      </c>
      <c r="F875" t="s">
        <v>104</v>
      </c>
      <c r="G875" t="s">
        <v>72</v>
      </c>
      <c r="H875" t="s">
        <v>189</v>
      </c>
      <c r="I875" t="s">
        <v>190</v>
      </c>
      <c r="J875" t="s">
        <v>37</v>
      </c>
      <c r="K875" t="s">
        <v>133</v>
      </c>
      <c r="L875" t="s">
        <v>2696</v>
      </c>
      <c r="M875" t="s">
        <v>40</v>
      </c>
      <c r="N875">
        <v>8</v>
      </c>
      <c r="O875">
        <v>623.30999999999995</v>
      </c>
      <c r="P875" s="3">
        <v>0.1</v>
      </c>
      <c r="Q875">
        <v>4487.83</v>
      </c>
      <c r="R875">
        <v>2633.78</v>
      </c>
      <c r="S875">
        <v>1854.05</v>
      </c>
      <c r="T875" t="s">
        <v>41</v>
      </c>
      <c r="U875" t="s">
        <v>42</v>
      </c>
      <c r="V875" s="3">
        <f t="shared" si="117"/>
        <v>0.1</v>
      </c>
      <c r="W875">
        <f t="shared" si="118"/>
        <v>4487.8319999999994</v>
      </c>
      <c r="X875">
        <f t="shared" si="119"/>
        <v>1854.0519999999992</v>
      </c>
      <c r="Y875" s="4">
        <f t="shared" si="120"/>
        <v>0.41312865543986482</v>
      </c>
      <c r="Z875">
        <f t="shared" si="121"/>
        <v>7</v>
      </c>
      <c r="AA875">
        <f t="shared" si="122"/>
        <v>2</v>
      </c>
      <c r="AB875">
        <f t="shared" si="123"/>
        <v>2025</v>
      </c>
      <c r="AC875" t="str">
        <f t="shared" si="124"/>
        <v>Unique</v>
      </c>
      <c r="AD875" t="str">
        <f t="shared" si="125"/>
        <v>Clean</v>
      </c>
    </row>
    <row r="876" spans="1:30" x14ac:dyDescent="0.3">
      <c r="A876" t="s">
        <v>2697</v>
      </c>
      <c r="B876" s="2">
        <v>45853</v>
      </c>
      <c r="C876" s="2">
        <v>45854</v>
      </c>
      <c r="D876" t="s">
        <v>2698</v>
      </c>
      <c r="E876" t="s">
        <v>80</v>
      </c>
      <c r="F876" t="s">
        <v>46</v>
      </c>
      <c r="G876" t="s">
        <v>72</v>
      </c>
      <c r="H876" t="s">
        <v>73</v>
      </c>
      <c r="I876" t="s">
        <v>74</v>
      </c>
      <c r="J876" t="s">
        <v>37</v>
      </c>
      <c r="K876" t="s">
        <v>38</v>
      </c>
      <c r="L876" t="s">
        <v>2699</v>
      </c>
      <c r="M876" t="s">
        <v>68</v>
      </c>
      <c r="N876">
        <v>8</v>
      </c>
      <c r="O876">
        <v>3924.88</v>
      </c>
      <c r="P876" s="3">
        <v>0.05</v>
      </c>
      <c r="Q876">
        <v>29829.09</v>
      </c>
      <c r="R876">
        <v>20710.18</v>
      </c>
      <c r="S876">
        <v>9118.91</v>
      </c>
      <c r="T876" t="s">
        <v>41</v>
      </c>
      <c r="U876" t="s">
        <v>42</v>
      </c>
      <c r="V876" s="3">
        <f t="shared" si="117"/>
        <v>0.05</v>
      </c>
      <c r="W876">
        <f t="shared" si="118"/>
        <v>29829.088</v>
      </c>
      <c r="X876">
        <f t="shared" si="119"/>
        <v>9118.9079999999994</v>
      </c>
      <c r="Y876" s="4">
        <f t="shared" si="120"/>
        <v>0.30570522303598419</v>
      </c>
      <c r="Z876">
        <f t="shared" si="121"/>
        <v>1</v>
      </c>
      <c r="AA876">
        <f t="shared" si="122"/>
        <v>7</v>
      </c>
      <c r="AB876">
        <f t="shared" si="123"/>
        <v>2025</v>
      </c>
      <c r="AC876" t="str">
        <f t="shared" si="124"/>
        <v>Unique</v>
      </c>
      <c r="AD876" t="str">
        <f t="shared" si="125"/>
        <v>Clean</v>
      </c>
    </row>
    <row r="877" spans="1:30" x14ac:dyDescent="0.3">
      <c r="A877" t="s">
        <v>2700</v>
      </c>
      <c r="B877" s="2">
        <v>45514</v>
      </c>
      <c r="C877" s="2">
        <v>45515</v>
      </c>
      <c r="D877" t="s">
        <v>2701</v>
      </c>
      <c r="E877" t="s">
        <v>45</v>
      </c>
      <c r="F877" t="s">
        <v>99</v>
      </c>
      <c r="G877" t="s">
        <v>72</v>
      </c>
      <c r="H877" t="s">
        <v>73</v>
      </c>
      <c r="I877" t="s">
        <v>74</v>
      </c>
      <c r="J877" t="s">
        <v>83</v>
      </c>
      <c r="K877" t="s">
        <v>89</v>
      </c>
      <c r="L877" t="s">
        <v>2702</v>
      </c>
      <c r="M877" t="s">
        <v>59</v>
      </c>
      <c r="N877">
        <v>7</v>
      </c>
      <c r="O877">
        <v>3852.62</v>
      </c>
      <c r="P877" s="3">
        <v>0.2</v>
      </c>
      <c r="Q877">
        <v>21574.67</v>
      </c>
      <c r="R877">
        <v>14672.83</v>
      </c>
      <c r="S877">
        <v>6901.84</v>
      </c>
      <c r="T877" t="s">
        <v>41</v>
      </c>
      <c r="U877" t="s">
        <v>42</v>
      </c>
      <c r="V877" s="3">
        <f t="shared" si="117"/>
        <v>0.2</v>
      </c>
      <c r="W877">
        <f t="shared" si="118"/>
        <v>21574.672000000002</v>
      </c>
      <c r="X877">
        <f t="shared" si="119"/>
        <v>6901.8420000000024</v>
      </c>
      <c r="Y877" s="4">
        <f t="shared" si="120"/>
        <v>0.31990484026825539</v>
      </c>
      <c r="Z877">
        <f t="shared" si="121"/>
        <v>1</v>
      </c>
      <c r="AA877">
        <f t="shared" si="122"/>
        <v>8</v>
      </c>
      <c r="AB877">
        <f t="shared" si="123"/>
        <v>2024</v>
      </c>
      <c r="AC877" t="str">
        <f t="shared" si="124"/>
        <v>Unique</v>
      </c>
      <c r="AD877" t="str">
        <f t="shared" si="125"/>
        <v>Clean</v>
      </c>
    </row>
    <row r="878" spans="1:30" x14ac:dyDescent="0.3">
      <c r="A878" t="s">
        <v>2703</v>
      </c>
      <c r="B878" s="2">
        <v>45614</v>
      </c>
      <c r="C878" s="2">
        <v>45616</v>
      </c>
      <c r="D878" t="s">
        <v>2704</v>
      </c>
      <c r="E878" t="s">
        <v>123</v>
      </c>
      <c r="F878" t="s">
        <v>33</v>
      </c>
      <c r="G878" t="s">
        <v>72</v>
      </c>
      <c r="H878" t="s">
        <v>35</v>
      </c>
      <c r="I878" t="s">
        <v>118</v>
      </c>
      <c r="J878" t="s">
        <v>50</v>
      </c>
      <c r="K878" t="s">
        <v>75</v>
      </c>
      <c r="L878" t="s">
        <v>855</v>
      </c>
      <c r="M878" t="s">
        <v>59</v>
      </c>
      <c r="N878">
        <v>6</v>
      </c>
      <c r="O878">
        <v>3790.22</v>
      </c>
      <c r="P878" s="3">
        <v>0</v>
      </c>
      <c r="Q878">
        <v>22741.32</v>
      </c>
      <c r="R878">
        <v>16388.57</v>
      </c>
      <c r="S878">
        <v>6352.75</v>
      </c>
      <c r="T878" t="s">
        <v>41</v>
      </c>
      <c r="U878" t="s">
        <v>42</v>
      </c>
      <c r="V878" s="3">
        <f t="shared" si="117"/>
        <v>0</v>
      </c>
      <c r="W878">
        <f t="shared" si="118"/>
        <v>22741.32</v>
      </c>
      <c r="X878">
        <f t="shared" si="119"/>
        <v>6352.75</v>
      </c>
      <c r="Y878" s="4">
        <f t="shared" si="120"/>
        <v>0.27934834037777928</v>
      </c>
      <c r="Z878">
        <f t="shared" si="121"/>
        <v>2</v>
      </c>
      <c r="AA878">
        <f t="shared" si="122"/>
        <v>11</v>
      </c>
      <c r="AB878">
        <f t="shared" si="123"/>
        <v>2024</v>
      </c>
      <c r="AC878" t="str">
        <f t="shared" si="124"/>
        <v>Unique</v>
      </c>
      <c r="AD878" t="str">
        <f t="shared" si="125"/>
        <v>Clean</v>
      </c>
    </row>
    <row r="879" spans="1:30" x14ac:dyDescent="0.3">
      <c r="A879" t="s">
        <v>2705</v>
      </c>
      <c r="B879" s="2">
        <v>45895</v>
      </c>
      <c r="C879" s="2">
        <v>45903</v>
      </c>
      <c r="D879" t="s">
        <v>2706</v>
      </c>
      <c r="E879" t="s">
        <v>137</v>
      </c>
      <c r="F879" t="s">
        <v>33</v>
      </c>
      <c r="G879" t="s">
        <v>72</v>
      </c>
      <c r="H879" t="s">
        <v>35</v>
      </c>
      <c r="I879" t="s">
        <v>118</v>
      </c>
      <c r="J879" t="s">
        <v>37</v>
      </c>
      <c r="K879" t="s">
        <v>133</v>
      </c>
      <c r="L879" t="s">
        <v>2707</v>
      </c>
      <c r="M879" t="s">
        <v>40</v>
      </c>
      <c r="N879">
        <v>6</v>
      </c>
      <c r="O879">
        <v>674.36</v>
      </c>
      <c r="P879" s="3">
        <v>0.1</v>
      </c>
      <c r="Q879">
        <v>3641.54</v>
      </c>
      <c r="R879">
        <v>2690.37</v>
      </c>
      <c r="S879">
        <v>951.17</v>
      </c>
      <c r="T879" t="s">
        <v>41</v>
      </c>
      <c r="U879" t="s">
        <v>42</v>
      </c>
      <c r="V879" s="3">
        <f t="shared" si="117"/>
        <v>0.1</v>
      </c>
      <c r="W879">
        <f t="shared" si="118"/>
        <v>3641.5439999999999</v>
      </c>
      <c r="X879">
        <f t="shared" si="119"/>
        <v>951.17399999999998</v>
      </c>
      <c r="Y879" s="4">
        <f t="shared" si="120"/>
        <v>0.26120074342092253</v>
      </c>
      <c r="Z879">
        <f t="shared" si="121"/>
        <v>8</v>
      </c>
      <c r="AA879">
        <f t="shared" si="122"/>
        <v>8</v>
      </c>
      <c r="AB879">
        <f t="shared" si="123"/>
        <v>2025</v>
      </c>
      <c r="AC879" t="str">
        <f t="shared" si="124"/>
        <v>Unique</v>
      </c>
      <c r="AD879" t="str">
        <f t="shared" si="125"/>
        <v>Clean</v>
      </c>
    </row>
    <row r="880" spans="1:30" x14ac:dyDescent="0.3">
      <c r="A880" t="s">
        <v>2708</v>
      </c>
      <c r="B880" s="2">
        <v>45313</v>
      </c>
      <c r="C880" s="2">
        <v>45313</v>
      </c>
      <c r="D880" t="s">
        <v>2709</v>
      </c>
      <c r="E880" t="s">
        <v>32</v>
      </c>
      <c r="F880" t="s">
        <v>99</v>
      </c>
      <c r="G880" t="s">
        <v>47</v>
      </c>
      <c r="H880" t="s">
        <v>108</v>
      </c>
      <c r="I880" t="s">
        <v>109</v>
      </c>
      <c r="J880" t="s">
        <v>37</v>
      </c>
      <c r="K880" t="s">
        <v>38</v>
      </c>
      <c r="L880" t="s">
        <v>2710</v>
      </c>
      <c r="M880" t="s">
        <v>59</v>
      </c>
      <c r="N880">
        <v>8</v>
      </c>
      <c r="O880">
        <v>1557.21</v>
      </c>
      <c r="P880" s="3">
        <v>0.05</v>
      </c>
      <c r="Q880">
        <v>11834.8</v>
      </c>
      <c r="R880">
        <v>9322.36</v>
      </c>
      <c r="S880">
        <v>2512.44</v>
      </c>
      <c r="T880" t="s">
        <v>41</v>
      </c>
      <c r="U880" t="s">
        <v>42</v>
      </c>
      <c r="V880" s="3">
        <f t="shared" si="117"/>
        <v>0.05</v>
      </c>
      <c r="W880">
        <f t="shared" si="118"/>
        <v>11834.796</v>
      </c>
      <c r="X880">
        <f t="shared" si="119"/>
        <v>2512.4359999999997</v>
      </c>
      <c r="Y880" s="4">
        <f t="shared" si="120"/>
        <v>0.21229229468763125</v>
      </c>
      <c r="Z880">
        <f t="shared" si="121"/>
        <v>0</v>
      </c>
      <c r="AA880">
        <f t="shared" si="122"/>
        <v>1</v>
      </c>
      <c r="AB880">
        <f t="shared" si="123"/>
        <v>2024</v>
      </c>
      <c r="AC880" t="str">
        <f t="shared" si="124"/>
        <v>Unique</v>
      </c>
      <c r="AD880" t="str">
        <f t="shared" si="125"/>
        <v>Clean</v>
      </c>
    </row>
    <row r="881" spans="1:30" x14ac:dyDescent="0.3">
      <c r="A881" t="s">
        <v>2711</v>
      </c>
      <c r="B881" s="2">
        <v>45896</v>
      </c>
      <c r="C881" s="2">
        <v>45897</v>
      </c>
      <c r="D881" t="s">
        <v>2712</v>
      </c>
      <c r="E881" t="s">
        <v>71</v>
      </c>
      <c r="F881" t="s">
        <v>104</v>
      </c>
      <c r="G881" t="s">
        <v>34</v>
      </c>
      <c r="H881" t="s">
        <v>145</v>
      </c>
      <c r="I881" t="s">
        <v>146</v>
      </c>
      <c r="J881" t="s">
        <v>37</v>
      </c>
      <c r="K881" t="s">
        <v>57</v>
      </c>
      <c r="L881" t="s">
        <v>2713</v>
      </c>
      <c r="M881" t="s">
        <v>68</v>
      </c>
      <c r="N881">
        <v>6</v>
      </c>
      <c r="O881">
        <v>1182.03</v>
      </c>
      <c r="P881" s="3">
        <v>0.15</v>
      </c>
      <c r="Q881">
        <v>6028.35</v>
      </c>
      <c r="R881">
        <v>4433.63</v>
      </c>
      <c r="S881">
        <v>1594.72</v>
      </c>
      <c r="T881" t="s">
        <v>41</v>
      </c>
      <c r="U881" t="s">
        <v>42</v>
      </c>
      <c r="V881" s="3">
        <f t="shared" si="117"/>
        <v>0.15</v>
      </c>
      <c r="W881">
        <f t="shared" si="118"/>
        <v>6028.3530000000001</v>
      </c>
      <c r="X881">
        <f t="shared" si="119"/>
        <v>1594.723</v>
      </c>
      <c r="Y881" s="4">
        <f t="shared" si="120"/>
        <v>0.26453709661660491</v>
      </c>
      <c r="Z881">
        <f t="shared" si="121"/>
        <v>1</v>
      </c>
      <c r="AA881">
        <f t="shared" si="122"/>
        <v>8</v>
      </c>
      <c r="AB881">
        <f t="shared" si="123"/>
        <v>2025</v>
      </c>
      <c r="AC881" t="str">
        <f t="shared" si="124"/>
        <v>Unique</v>
      </c>
      <c r="AD881" t="str">
        <f t="shared" si="125"/>
        <v>Clean</v>
      </c>
    </row>
    <row r="882" spans="1:30" x14ac:dyDescent="0.3">
      <c r="A882" t="s">
        <v>2714</v>
      </c>
      <c r="B882" s="2">
        <v>45359</v>
      </c>
      <c r="C882" s="2">
        <v>45366</v>
      </c>
      <c r="D882" t="s">
        <v>2715</v>
      </c>
      <c r="E882" t="s">
        <v>137</v>
      </c>
      <c r="F882" t="s">
        <v>46</v>
      </c>
      <c r="G882" t="s">
        <v>214</v>
      </c>
      <c r="H882" t="s">
        <v>131</v>
      </c>
      <c r="I882" t="s">
        <v>132</v>
      </c>
      <c r="J882" t="s">
        <v>50</v>
      </c>
      <c r="K882" t="s">
        <v>75</v>
      </c>
      <c r="L882" t="s">
        <v>2716</v>
      </c>
      <c r="M882" t="s">
        <v>59</v>
      </c>
      <c r="N882">
        <v>5</v>
      </c>
      <c r="O882">
        <v>3234.77</v>
      </c>
      <c r="P882" s="3">
        <v>0</v>
      </c>
      <c r="Q882">
        <v>16173.85</v>
      </c>
      <c r="R882">
        <v>13636.34</v>
      </c>
      <c r="S882">
        <v>2537.5100000000002</v>
      </c>
      <c r="T882" t="s">
        <v>41</v>
      </c>
      <c r="U882" t="s">
        <v>42</v>
      </c>
      <c r="V882" s="3">
        <f t="shared" si="117"/>
        <v>0</v>
      </c>
      <c r="W882">
        <f t="shared" si="118"/>
        <v>16173.85</v>
      </c>
      <c r="X882">
        <f t="shared" si="119"/>
        <v>2537.5100000000002</v>
      </c>
      <c r="Y882" s="4">
        <f t="shared" si="120"/>
        <v>0.15688967067210344</v>
      </c>
      <c r="Z882">
        <f t="shared" si="121"/>
        <v>7</v>
      </c>
      <c r="AA882">
        <f t="shared" si="122"/>
        <v>3</v>
      </c>
      <c r="AB882">
        <f t="shared" si="123"/>
        <v>2024</v>
      </c>
      <c r="AC882" t="str">
        <f t="shared" si="124"/>
        <v>Unique</v>
      </c>
      <c r="AD882" t="str">
        <f t="shared" si="125"/>
        <v>Warning</v>
      </c>
    </row>
    <row r="883" spans="1:30" x14ac:dyDescent="0.3">
      <c r="A883" t="s">
        <v>2717</v>
      </c>
      <c r="B883" s="2">
        <v>45627</v>
      </c>
      <c r="C883" s="2">
        <v>45631</v>
      </c>
      <c r="D883" t="s">
        <v>2718</v>
      </c>
      <c r="E883" t="s">
        <v>71</v>
      </c>
      <c r="F883" t="s">
        <v>46</v>
      </c>
      <c r="G883" t="s">
        <v>63</v>
      </c>
      <c r="H883" t="s">
        <v>93</v>
      </c>
      <c r="I883" t="s">
        <v>94</v>
      </c>
      <c r="J883" t="s">
        <v>83</v>
      </c>
      <c r="K883" t="s">
        <v>89</v>
      </c>
      <c r="L883" t="s">
        <v>2719</v>
      </c>
      <c r="M883" t="s">
        <v>40</v>
      </c>
      <c r="N883">
        <v>9</v>
      </c>
      <c r="O883">
        <v>3726.75</v>
      </c>
      <c r="P883" s="3">
        <v>0.25</v>
      </c>
      <c r="Q883">
        <v>25155.56</v>
      </c>
      <c r="R883">
        <v>17592.689999999999</v>
      </c>
      <c r="S883">
        <v>7562.87</v>
      </c>
      <c r="T883" t="s">
        <v>41</v>
      </c>
      <c r="U883" t="s">
        <v>42</v>
      </c>
      <c r="V883" s="3">
        <f t="shared" si="117"/>
        <v>0.25</v>
      </c>
      <c r="W883">
        <f t="shared" si="118"/>
        <v>25155.5625</v>
      </c>
      <c r="X883">
        <f t="shared" si="119"/>
        <v>7562.8725000000013</v>
      </c>
      <c r="Y883" s="4">
        <f t="shared" si="120"/>
        <v>0.30064414182747856</v>
      </c>
      <c r="Z883">
        <f t="shared" si="121"/>
        <v>4</v>
      </c>
      <c r="AA883">
        <f t="shared" si="122"/>
        <v>12</v>
      </c>
      <c r="AB883">
        <f t="shared" si="123"/>
        <v>2024</v>
      </c>
      <c r="AC883" t="str">
        <f t="shared" si="124"/>
        <v>Unique</v>
      </c>
      <c r="AD883" t="str">
        <f t="shared" si="125"/>
        <v>Clean</v>
      </c>
    </row>
    <row r="884" spans="1:30" x14ac:dyDescent="0.3">
      <c r="A884" t="s">
        <v>2720</v>
      </c>
      <c r="B884" s="2">
        <v>45690</v>
      </c>
      <c r="C884" s="2">
        <v>45698</v>
      </c>
      <c r="D884" t="s">
        <v>2721</v>
      </c>
      <c r="E884" t="s">
        <v>141</v>
      </c>
      <c r="F884" t="s">
        <v>99</v>
      </c>
      <c r="G884" t="s">
        <v>47</v>
      </c>
      <c r="H884" t="s">
        <v>154</v>
      </c>
      <c r="I884" t="s">
        <v>155</v>
      </c>
      <c r="J884" t="s">
        <v>83</v>
      </c>
      <c r="K884" t="s">
        <v>84</v>
      </c>
      <c r="L884" t="s">
        <v>2722</v>
      </c>
      <c r="M884" t="s">
        <v>68</v>
      </c>
      <c r="N884">
        <v>4</v>
      </c>
      <c r="O884">
        <v>1912.45</v>
      </c>
      <c r="P884" s="3">
        <v>0</v>
      </c>
      <c r="Q884">
        <v>7649.8</v>
      </c>
      <c r="R884">
        <v>4894.53</v>
      </c>
      <c r="S884">
        <v>2755.27</v>
      </c>
      <c r="T884" t="s">
        <v>120</v>
      </c>
      <c r="U884" t="s">
        <v>112</v>
      </c>
      <c r="V884" s="3">
        <f t="shared" si="117"/>
        <v>0</v>
      </c>
      <c r="W884">
        <f t="shared" si="118"/>
        <v>7649.8</v>
      </c>
      <c r="X884">
        <f t="shared" si="119"/>
        <v>2755.2700000000004</v>
      </c>
      <c r="Y884" s="4">
        <f t="shared" si="120"/>
        <v>0.36017542942299152</v>
      </c>
      <c r="Z884">
        <f t="shared" si="121"/>
        <v>8</v>
      </c>
      <c r="AA884">
        <f t="shared" si="122"/>
        <v>2</v>
      </c>
      <c r="AB884">
        <f t="shared" si="123"/>
        <v>2025</v>
      </c>
      <c r="AC884" t="str">
        <f t="shared" si="124"/>
        <v>Unique</v>
      </c>
      <c r="AD884" t="str">
        <f t="shared" si="125"/>
        <v>Clean</v>
      </c>
    </row>
    <row r="885" spans="1:30" x14ac:dyDescent="0.3">
      <c r="A885" t="s">
        <v>2723</v>
      </c>
      <c r="B885" s="2">
        <v>45775</v>
      </c>
      <c r="C885" s="2">
        <v>45778</v>
      </c>
      <c r="D885" t="s">
        <v>2724</v>
      </c>
      <c r="E885" t="s">
        <v>137</v>
      </c>
      <c r="F885" t="s">
        <v>46</v>
      </c>
      <c r="G885" t="s">
        <v>72</v>
      </c>
      <c r="H885" t="s">
        <v>199</v>
      </c>
      <c r="I885" t="s">
        <v>200</v>
      </c>
      <c r="J885" t="s">
        <v>37</v>
      </c>
      <c r="K885" t="s">
        <v>133</v>
      </c>
      <c r="L885" t="s">
        <v>2725</v>
      </c>
      <c r="M885" t="s">
        <v>53</v>
      </c>
      <c r="N885">
        <v>1</v>
      </c>
      <c r="O885">
        <v>1620.87</v>
      </c>
      <c r="P885" s="3">
        <v>0</v>
      </c>
      <c r="Q885">
        <v>1620.87</v>
      </c>
      <c r="R885">
        <v>1103.6099999999999</v>
      </c>
      <c r="S885">
        <v>517.26</v>
      </c>
      <c r="T885" t="s">
        <v>41</v>
      </c>
      <c r="U885" t="s">
        <v>42</v>
      </c>
      <c r="V885" s="3">
        <f t="shared" si="117"/>
        <v>0</v>
      </c>
      <c r="W885">
        <f t="shared" si="118"/>
        <v>1620.87</v>
      </c>
      <c r="X885">
        <f t="shared" si="119"/>
        <v>517.26</v>
      </c>
      <c r="Y885" s="4">
        <f t="shared" si="120"/>
        <v>0.31912491439782342</v>
      </c>
      <c r="Z885">
        <f t="shared" si="121"/>
        <v>3</v>
      </c>
      <c r="AA885">
        <f t="shared" si="122"/>
        <v>4</v>
      </c>
      <c r="AB885">
        <f t="shared" si="123"/>
        <v>2025</v>
      </c>
      <c r="AC885" t="str">
        <f t="shared" si="124"/>
        <v>Unique</v>
      </c>
      <c r="AD885" t="str">
        <f t="shared" si="125"/>
        <v>Clean</v>
      </c>
    </row>
    <row r="886" spans="1:30" x14ac:dyDescent="0.3">
      <c r="A886" t="s">
        <v>2726</v>
      </c>
      <c r="B886" s="2">
        <v>45675</v>
      </c>
      <c r="C886" s="2">
        <v>45682</v>
      </c>
      <c r="D886" t="s">
        <v>2727</v>
      </c>
      <c r="E886" t="s">
        <v>88</v>
      </c>
      <c r="F886" t="s">
        <v>104</v>
      </c>
      <c r="G886" t="s">
        <v>63</v>
      </c>
      <c r="H886" t="s">
        <v>184</v>
      </c>
      <c r="I886" t="s">
        <v>185</v>
      </c>
      <c r="J886" t="s">
        <v>37</v>
      </c>
      <c r="K886" t="s">
        <v>133</v>
      </c>
      <c r="L886" t="s">
        <v>2728</v>
      </c>
      <c r="M886" t="s">
        <v>53</v>
      </c>
      <c r="N886">
        <v>2</v>
      </c>
      <c r="O886">
        <v>2098.54</v>
      </c>
      <c r="P886" s="3">
        <v>0.15</v>
      </c>
      <c r="Q886">
        <v>3567.52</v>
      </c>
      <c r="R886">
        <v>2411.8000000000002</v>
      </c>
      <c r="S886">
        <v>1155.72</v>
      </c>
      <c r="T886" t="s">
        <v>41</v>
      </c>
      <c r="U886" t="s">
        <v>42</v>
      </c>
      <c r="V886" s="3">
        <f t="shared" si="117"/>
        <v>0.15</v>
      </c>
      <c r="W886">
        <f t="shared" si="118"/>
        <v>3567.518</v>
      </c>
      <c r="X886">
        <f t="shared" si="119"/>
        <v>1155.7179999999998</v>
      </c>
      <c r="Y886" s="4">
        <f t="shared" si="120"/>
        <v>0.32395575859743381</v>
      </c>
      <c r="Z886">
        <f t="shared" si="121"/>
        <v>7</v>
      </c>
      <c r="AA886">
        <f t="shared" si="122"/>
        <v>1</v>
      </c>
      <c r="AB886">
        <f t="shared" si="123"/>
        <v>2025</v>
      </c>
      <c r="AC886" t="str">
        <f t="shared" si="124"/>
        <v>Unique</v>
      </c>
      <c r="AD886" t="str">
        <f t="shared" si="125"/>
        <v>Clean</v>
      </c>
    </row>
    <row r="887" spans="1:30" x14ac:dyDescent="0.3">
      <c r="A887" t="s">
        <v>2729</v>
      </c>
      <c r="B887" s="2">
        <v>45296</v>
      </c>
      <c r="C887" s="2">
        <v>45296</v>
      </c>
      <c r="D887" t="s">
        <v>2730</v>
      </c>
      <c r="E887" t="s">
        <v>171</v>
      </c>
      <c r="F887" t="s">
        <v>33</v>
      </c>
      <c r="G887" t="s">
        <v>34</v>
      </c>
      <c r="H887" t="s">
        <v>35</v>
      </c>
      <c r="I887" t="s">
        <v>36</v>
      </c>
      <c r="J887" t="s">
        <v>50</v>
      </c>
      <c r="K887" t="s">
        <v>51</v>
      </c>
      <c r="L887" t="s">
        <v>2731</v>
      </c>
      <c r="M887" t="s">
        <v>68</v>
      </c>
      <c r="N887">
        <v>1</v>
      </c>
      <c r="O887">
        <v>2167.08</v>
      </c>
      <c r="P887" s="3">
        <v>0.25</v>
      </c>
      <c r="Q887">
        <v>1625.31</v>
      </c>
      <c r="R887">
        <v>1157.8900000000001</v>
      </c>
      <c r="S887">
        <v>467.42</v>
      </c>
      <c r="T887" t="s">
        <v>41</v>
      </c>
      <c r="U887" t="s">
        <v>42</v>
      </c>
      <c r="V887" s="3">
        <f t="shared" si="117"/>
        <v>0.25</v>
      </c>
      <c r="W887">
        <f t="shared" si="118"/>
        <v>1625.31</v>
      </c>
      <c r="X887">
        <f t="shared" si="119"/>
        <v>467.41999999999985</v>
      </c>
      <c r="Y887" s="4">
        <f t="shared" si="120"/>
        <v>0.28758821394072509</v>
      </c>
      <c r="Z887">
        <f t="shared" si="121"/>
        <v>0</v>
      </c>
      <c r="AA887">
        <f t="shared" si="122"/>
        <v>1</v>
      </c>
      <c r="AB887">
        <f t="shared" si="123"/>
        <v>2024</v>
      </c>
      <c r="AC887" t="str">
        <f t="shared" si="124"/>
        <v>Unique</v>
      </c>
      <c r="AD887" t="str">
        <f t="shared" si="125"/>
        <v>Clean</v>
      </c>
    </row>
    <row r="888" spans="1:30" x14ac:dyDescent="0.3">
      <c r="A888" t="s">
        <v>2732</v>
      </c>
      <c r="B888" s="2">
        <v>45773</v>
      </c>
      <c r="C888" s="2">
        <v>45780</v>
      </c>
      <c r="D888" t="s">
        <v>2733</v>
      </c>
      <c r="E888" t="s">
        <v>62</v>
      </c>
      <c r="F888" t="s">
        <v>104</v>
      </c>
      <c r="G888" t="s">
        <v>63</v>
      </c>
      <c r="H888" t="s">
        <v>257</v>
      </c>
      <c r="I888" t="s">
        <v>258</v>
      </c>
      <c r="J888" t="s">
        <v>83</v>
      </c>
      <c r="K888" t="s">
        <v>84</v>
      </c>
      <c r="L888" t="s">
        <v>2734</v>
      </c>
      <c r="M888" t="s">
        <v>59</v>
      </c>
      <c r="N888">
        <v>7</v>
      </c>
      <c r="O888">
        <v>3989.9</v>
      </c>
      <c r="P888" s="3">
        <v>0.15</v>
      </c>
      <c r="Q888">
        <v>23739.9</v>
      </c>
      <c r="R888">
        <v>17716.52</v>
      </c>
      <c r="S888">
        <v>6023.38</v>
      </c>
      <c r="T888" t="s">
        <v>41</v>
      </c>
      <c r="U888" t="s">
        <v>77</v>
      </c>
      <c r="V888" s="3">
        <f t="shared" si="117"/>
        <v>0.15</v>
      </c>
      <c r="W888">
        <f t="shared" si="118"/>
        <v>23739.904999999999</v>
      </c>
      <c r="X888">
        <f t="shared" si="119"/>
        <v>6023.3849999999984</v>
      </c>
      <c r="Y888" s="4">
        <f t="shared" si="120"/>
        <v>0.25372405660427028</v>
      </c>
      <c r="Z888">
        <f t="shared" si="121"/>
        <v>7</v>
      </c>
      <c r="AA888">
        <f t="shared" si="122"/>
        <v>4</v>
      </c>
      <c r="AB888">
        <f t="shared" si="123"/>
        <v>2025</v>
      </c>
      <c r="AC888" t="str">
        <f t="shared" si="124"/>
        <v>Unique</v>
      </c>
      <c r="AD888" t="str">
        <f t="shared" si="125"/>
        <v>Warning</v>
      </c>
    </row>
    <row r="889" spans="1:30" x14ac:dyDescent="0.3">
      <c r="A889" t="s">
        <v>2735</v>
      </c>
      <c r="B889" s="2">
        <v>45455</v>
      </c>
      <c r="C889" s="2">
        <v>45461</v>
      </c>
      <c r="D889" t="s">
        <v>2736</v>
      </c>
      <c r="E889" t="s">
        <v>137</v>
      </c>
      <c r="F889" t="s">
        <v>46</v>
      </c>
      <c r="G889" t="s">
        <v>63</v>
      </c>
      <c r="H889" t="s">
        <v>93</v>
      </c>
      <c r="I889" t="s">
        <v>94</v>
      </c>
      <c r="J889" t="s">
        <v>37</v>
      </c>
      <c r="K889" t="s">
        <v>57</v>
      </c>
      <c r="L889" t="s">
        <v>2737</v>
      </c>
      <c r="M889" t="s">
        <v>68</v>
      </c>
      <c r="N889">
        <v>4</v>
      </c>
      <c r="O889">
        <v>4176.13</v>
      </c>
      <c r="P889" s="3">
        <v>0</v>
      </c>
      <c r="Q889">
        <v>16704.52</v>
      </c>
      <c r="R889">
        <v>10158.280000000001</v>
      </c>
      <c r="S889">
        <v>6546.24</v>
      </c>
      <c r="T889" t="s">
        <v>41</v>
      </c>
      <c r="U889" t="s">
        <v>42</v>
      </c>
      <c r="V889" s="3">
        <f t="shared" si="117"/>
        <v>0</v>
      </c>
      <c r="W889">
        <f t="shared" si="118"/>
        <v>16704.52</v>
      </c>
      <c r="X889">
        <f t="shared" si="119"/>
        <v>6546.24</v>
      </c>
      <c r="Y889" s="4">
        <f t="shared" si="120"/>
        <v>0.39188435225914897</v>
      </c>
      <c r="Z889">
        <f t="shared" si="121"/>
        <v>6</v>
      </c>
      <c r="AA889">
        <f t="shared" si="122"/>
        <v>6</v>
      </c>
      <c r="AB889">
        <f t="shared" si="123"/>
        <v>2024</v>
      </c>
      <c r="AC889" t="str">
        <f t="shared" si="124"/>
        <v>Unique</v>
      </c>
      <c r="AD889" t="str">
        <f t="shared" si="125"/>
        <v>Clean</v>
      </c>
    </row>
    <row r="890" spans="1:30" x14ac:dyDescent="0.3">
      <c r="A890" t="s">
        <v>2738</v>
      </c>
      <c r="B890" s="2">
        <v>45875</v>
      </c>
      <c r="C890" s="2">
        <v>45876</v>
      </c>
      <c r="D890" t="s">
        <v>2739</v>
      </c>
      <c r="E890" t="s">
        <v>127</v>
      </c>
      <c r="F890" t="s">
        <v>46</v>
      </c>
      <c r="G890" t="s">
        <v>72</v>
      </c>
      <c r="H890" t="s">
        <v>73</v>
      </c>
      <c r="I890" t="s">
        <v>74</v>
      </c>
      <c r="J890" t="s">
        <v>37</v>
      </c>
      <c r="K890" t="s">
        <v>57</v>
      </c>
      <c r="L890" t="s">
        <v>2740</v>
      </c>
      <c r="M890" t="s">
        <v>68</v>
      </c>
      <c r="N890">
        <v>4</v>
      </c>
      <c r="O890">
        <v>3523.64</v>
      </c>
      <c r="P890" s="3">
        <v>0.1</v>
      </c>
      <c r="Q890">
        <v>12685.1</v>
      </c>
      <c r="R890">
        <v>10779.56</v>
      </c>
      <c r="S890">
        <v>1905.54</v>
      </c>
      <c r="T890" t="s">
        <v>111</v>
      </c>
      <c r="U890" t="s">
        <v>77</v>
      </c>
      <c r="V890" s="3">
        <f t="shared" si="117"/>
        <v>0.1</v>
      </c>
      <c r="W890">
        <f t="shared" si="118"/>
        <v>12685.103999999999</v>
      </c>
      <c r="X890">
        <f t="shared" si="119"/>
        <v>1905.5439999999999</v>
      </c>
      <c r="Y890" s="4">
        <f t="shared" si="120"/>
        <v>0.15021902855506741</v>
      </c>
      <c r="Z890">
        <f t="shared" si="121"/>
        <v>1</v>
      </c>
      <c r="AA890">
        <f t="shared" si="122"/>
        <v>8</v>
      </c>
      <c r="AB890">
        <f t="shared" si="123"/>
        <v>2025</v>
      </c>
      <c r="AC890" t="str">
        <f t="shared" si="124"/>
        <v>Unique</v>
      </c>
      <c r="AD890" t="str">
        <f t="shared" si="125"/>
        <v>Warning</v>
      </c>
    </row>
    <row r="891" spans="1:30" x14ac:dyDescent="0.3">
      <c r="A891" t="s">
        <v>2741</v>
      </c>
      <c r="B891" s="2">
        <v>45726</v>
      </c>
      <c r="C891" s="2">
        <v>45727</v>
      </c>
      <c r="D891" t="s">
        <v>893</v>
      </c>
      <c r="E891" t="s">
        <v>98</v>
      </c>
      <c r="F891" t="s">
        <v>104</v>
      </c>
      <c r="G891" t="s">
        <v>72</v>
      </c>
      <c r="H891" t="s">
        <v>81</v>
      </c>
      <c r="I891" t="s">
        <v>82</v>
      </c>
      <c r="J891" t="s">
        <v>37</v>
      </c>
      <c r="K891" t="s">
        <v>133</v>
      </c>
      <c r="L891" t="s">
        <v>2742</v>
      </c>
      <c r="M891" t="s">
        <v>59</v>
      </c>
      <c r="N891">
        <v>2</v>
      </c>
      <c r="O891">
        <v>3922.08</v>
      </c>
      <c r="P891" s="3">
        <v>0.25</v>
      </c>
      <c r="Q891">
        <v>5883.12</v>
      </c>
      <c r="R891">
        <v>4647.91</v>
      </c>
      <c r="S891">
        <v>1235.21</v>
      </c>
      <c r="T891" t="s">
        <v>41</v>
      </c>
      <c r="U891" t="s">
        <v>112</v>
      </c>
      <c r="V891" s="3">
        <f t="shared" si="117"/>
        <v>0.25</v>
      </c>
      <c r="W891">
        <f t="shared" si="118"/>
        <v>5883.12</v>
      </c>
      <c r="X891">
        <f t="shared" si="119"/>
        <v>1235.21</v>
      </c>
      <c r="Y891" s="4">
        <f t="shared" si="120"/>
        <v>0.20995832143488491</v>
      </c>
      <c r="Z891">
        <f t="shared" si="121"/>
        <v>1</v>
      </c>
      <c r="AA891">
        <f t="shared" si="122"/>
        <v>3</v>
      </c>
      <c r="AB891">
        <f t="shared" si="123"/>
        <v>2025</v>
      </c>
      <c r="AC891" t="str">
        <f t="shared" si="124"/>
        <v>Unique</v>
      </c>
      <c r="AD891" t="str">
        <f t="shared" si="125"/>
        <v>Clean</v>
      </c>
    </row>
    <row r="892" spans="1:30" x14ac:dyDescent="0.3">
      <c r="A892" t="s">
        <v>2743</v>
      </c>
      <c r="B892" s="2">
        <v>45427</v>
      </c>
      <c r="C892" s="2">
        <v>45433</v>
      </c>
      <c r="D892" t="s">
        <v>2744</v>
      </c>
      <c r="E892" t="s">
        <v>32</v>
      </c>
      <c r="F892" t="s">
        <v>33</v>
      </c>
      <c r="G892" t="s">
        <v>72</v>
      </c>
      <c r="H892" t="s">
        <v>199</v>
      </c>
      <c r="I892" t="s">
        <v>200</v>
      </c>
      <c r="J892" t="s">
        <v>37</v>
      </c>
      <c r="K892" t="s">
        <v>133</v>
      </c>
      <c r="L892" t="s">
        <v>2745</v>
      </c>
      <c r="M892" t="s">
        <v>68</v>
      </c>
      <c r="N892">
        <v>6</v>
      </c>
      <c r="O892">
        <v>2909.56</v>
      </c>
      <c r="P892" s="3">
        <v>0.2</v>
      </c>
      <c r="Q892">
        <v>13965.89</v>
      </c>
      <c r="R892">
        <v>11646.12</v>
      </c>
      <c r="S892">
        <v>2319.77</v>
      </c>
      <c r="T892" t="s">
        <v>41</v>
      </c>
      <c r="U892" t="s">
        <v>42</v>
      </c>
      <c r="V892" s="3">
        <f t="shared" si="117"/>
        <v>0.2</v>
      </c>
      <c r="W892">
        <f t="shared" si="118"/>
        <v>13965.888000000001</v>
      </c>
      <c r="X892">
        <f t="shared" si="119"/>
        <v>2319.768</v>
      </c>
      <c r="Y892" s="4">
        <f t="shared" si="120"/>
        <v>0.16610243473239938</v>
      </c>
      <c r="Z892">
        <f t="shared" si="121"/>
        <v>6</v>
      </c>
      <c r="AA892">
        <f t="shared" si="122"/>
        <v>5</v>
      </c>
      <c r="AB892">
        <f t="shared" si="123"/>
        <v>2024</v>
      </c>
      <c r="AC892" t="str">
        <f t="shared" si="124"/>
        <v>Unique</v>
      </c>
      <c r="AD892" t="str">
        <f t="shared" si="125"/>
        <v>Clean</v>
      </c>
    </row>
    <row r="893" spans="1:30" x14ac:dyDescent="0.3">
      <c r="A893" t="s">
        <v>2746</v>
      </c>
      <c r="B893" s="2">
        <v>45573</v>
      </c>
      <c r="C893" s="2">
        <v>45574</v>
      </c>
      <c r="D893" t="s">
        <v>2747</v>
      </c>
      <c r="E893" t="s">
        <v>274</v>
      </c>
      <c r="F893" t="s">
        <v>99</v>
      </c>
      <c r="G893" t="s">
        <v>63</v>
      </c>
      <c r="H893" t="s">
        <v>257</v>
      </c>
      <c r="I893" t="s">
        <v>258</v>
      </c>
      <c r="J893" t="s">
        <v>83</v>
      </c>
      <c r="K893" t="s">
        <v>284</v>
      </c>
      <c r="L893" t="s">
        <v>2748</v>
      </c>
      <c r="M893" t="s">
        <v>53</v>
      </c>
      <c r="N893">
        <v>5</v>
      </c>
      <c r="O893">
        <v>2407.9699999999998</v>
      </c>
      <c r="P893" s="3">
        <v>0.1</v>
      </c>
      <c r="Q893">
        <v>10835.86</v>
      </c>
      <c r="R893">
        <v>6419.92</v>
      </c>
      <c r="S893">
        <v>4415.9399999999996</v>
      </c>
      <c r="T893" t="s">
        <v>164</v>
      </c>
      <c r="U893" t="s">
        <v>77</v>
      </c>
      <c r="V893" s="3">
        <f t="shared" si="117"/>
        <v>0.1</v>
      </c>
      <c r="W893">
        <f t="shared" si="118"/>
        <v>10835.865</v>
      </c>
      <c r="X893">
        <f t="shared" si="119"/>
        <v>4415.9449999999997</v>
      </c>
      <c r="Y893" s="4">
        <f t="shared" si="120"/>
        <v>0.40753045557507406</v>
      </c>
      <c r="Z893">
        <f t="shared" si="121"/>
        <v>1</v>
      </c>
      <c r="AA893">
        <f t="shared" si="122"/>
        <v>10</v>
      </c>
      <c r="AB893">
        <f t="shared" si="123"/>
        <v>2024</v>
      </c>
      <c r="AC893" t="str">
        <f t="shared" si="124"/>
        <v>Unique</v>
      </c>
      <c r="AD893" t="str">
        <f t="shared" si="125"/>
        <v>Warning</v>
      </c>
    </row>
    <row r="894" spans="1:30" x14ac:dyDescent="0.3">
      <c r="A894" t="s">
        <v>2749</v>
      </c>
      <c r="B894" s="2">
        <v>45759</v>
      </c>
      <c r="C894" s="2">
        <v>45765</v>
      </c>
      <c r="D894" t="s">
        <v>2750</v>
      </c>
      <c r="E894" t="s">
        <v>56</v>
      </c>
      <c r="F894" t="s">
        <v>46</v>
      </c>
      <c r="G894" t="s">
        <v>47</v>
      </c>
      <c r="H894" t="s">
        <v>238</v>
      </c>
      <c r="I894" t="s">
        <v>239</v>
      </c>
      <c r="J894" t="s">
        <v>83</v>
      </c>
      <c r="K894" t="s">
        <v>89</v>
      </c>
      <c r="L894" t="s">
        <v>2751</v>
      </c>
      <c r="M894" t="s">
        <v>53</v>
      </c>
      <c r="N894">
        <v>1</v>
      </c>
      <c r="O894">
        <v>726.89</v>
      </c>
      <c r="P894" s="3">
        <v>0.2</v>
      </c>
      <c r="Q894">
        <v>581.51</v>
      </c>
      <c r="R894">
        <v>423.86</v>
      </c>
      <c r="S894">
        <v>157.65</v>
      </c>
      <c r="T894" t="s">
        <v>41</v>
      </c>
      <c r="U894" t="s">
        <v>42</v>
      </c>
      <c r="V894" s="3">
        <f t="shared" si="117"/>
        <v>0.2</v>
      </c>
      <c r="W894">
        <f t="shared" si="118"/>
        <v>581.51200000000006</v>
      </c>
      <c r="X894">
        <f t="shared" si="119"/>
        <v>157.65200000000004</v>
      </c>
      <c r="Y894" s="4">
        <f t="shared" si="120"/>
        <v>0.27110704508247468</v>
      </c>
      <c r="Z894">
        <f t="shared" si="121"/>
        <v>6</v>
      </c>
      <c r="AA894">
        <f t="shared" si="122"/>
        <v>4</v>
      </c>
      <c r="AB894">
        <f t="shared" si="123"/>
        <v>2025</v>
      </c>
      <c r="AC894" t="str">
        <f t="shared" si="124"/>
        <v>Unique</v>
      </c>
      <c r="AD894" t="str">
        <f t="shared" si="125"/>
        <v>Clean</v>
      </c>
    </row>
    <row r="895" spans="1:30" x14ac:dyDescent="0.3">
      <c r="A895" t="s">
        <v>2752</v>
      </c>
      <c r="B895" s="2">
        <v>45449</v>
      </c>
      <c r="C895" s="2">
        <v>45451</v>
      </c>
      <c r="D895" t="s">
        <v>2753</v>
      </c>
      <c r="E895" t="s">
        <v>137</v>
      </c>
      <c r="F895" t="s">
        <v>99</v>
      </c>
      <c r="G895" t="s">
        <v>63</v>
      </c>
      <c r="H895" t="s">
        <v>184</v>
      </c>
      <c r="I895" t="s">
        <v>185</v>
      </c>
      <c r="J895" t="s">
        <v>50</v>
      </c>
      <c r="K895" t="s">
        <v>51</v>
      </c>
      <c r="L895" t="s">
        <v>2754</v>
      </c>
      <c r="M895" t="s">
        <v>40</v>
      </c>
      <c r="N895">
        <v>3</v>
      </c>
      <c r="O895">
        <v>395.49</v>
      </c>
      <c r="P895" s="3">
        <v>0.05</v>
      </c>
      <c r="Q895">
        <v>1127.1500000000001</v>
      </c>
      <c r="R895">
        <v>845.62</v>
      </c>
      <c r="S895">
        <v>281.52999999999997</v>
      </c>
      <c r="T895" t="s">
        <v>41</v>
      </c>
      <c r="U895" t="s">
        <v>112</v>
      </c>
      <c r="V895" s="3">
        <f t="shared" si="117"/>
        <v>0.05</v>
      </c>
      <c r="W895">
        <f t="shared" si="118"/>
        <v>1127.1465000000001</v>
      </c>
      <c r="X895">
        <f t="shared" si="119"/>
        <v>281.52650000000006</v>
      </c>
      <c r="Y895" s="4">
        <f t="shared" si="120"/>
        <v>0.24976921810962466</v>
      </c>
      <c r="Z895">
        <f t="shared" si="121"/>
        <v>2</v>
      </c>
      <c r="AA895">
        <f t="shared" si="122"/>
        <v>6</v>
      </c>
      <c r="AB895">
        <f t="shared" si="123"/>
        <v>2024</v>
      </c>
      <c r="AC895" t="str">
        <f t="shared" si="124"/>
        <v>Unique</v>
      </c>
      <c r="AD895" t="str">
        <f t="shared" si="125"/>
        <v>Clean</v>
      </c>
    </row>
    <row r="896" spans="1:30" x14ac:dyDescent="0.3">
      <c r="A896" t="s">
        <v>2755</v>
      </c>
      <c r="B896" s="2">
        <v>45344</v>
      </c>
      <c r="C896" s="2">
        <v>45351</v>
      </c>
      <c r="D896" t="s">
        <v>2756</v>
      </c>
      <c r="E896" t="s">
        <v>56</v>
      </c>
      <c r="F896" t="s">
        <v>104</v>
      </c>
      <c r="G896" t="s">
        <v>63</v>
      </c>
      <c r="H896" t="s">
        <v>64</v>
      </c>
      <c r="I896" t="s">
        <v>65</v>
      </c>
      <c r="J896" t="s">
        <v>50</v>
      </c>
      <c r="K896" t="s">
        <v>51</v>
      </c>
      <c r="L896" t="s">
        <v>2757</v>
      </c>
      <c r="M896" t="s">
        <v>59</v>
      </c>
      <c r="N896">
        <v>6</v>
      </c>
      <c r="O896">
        <v>4254.05</v>
      </c>
      <c r="P896" s="3">
        <v>0</v>
      </c>
      <c r="Q896">
        <v>25524.3</v>
      </c>
      <c r="R896">
        <v>16711.93</v>
      </c>
      <c r="S896">
        <v>8812.3700000000008</v>
      </c>
      <c r="T896" t="s">
        <v>41</v>
      </c>
      <c r="U896" t="s">
        <v>42</v>
      </c>
      <c r="V896" s="3">
        <f t="shared" si="117"/>
        <v>0</v>
      </c>
      <c r="W896">
        <f t="shared" si="118"/>
        <v>25524.300000000003</v>
      </c>
      <c r="X896">
        <f t="shared" si="119"/>
        <v>8812.3700000000026</v>
      </c>
      <c r="Y896" s="4">
        <f t="shared" si="120"/>
        <v>0.34525413037771857</v>
      </c>
      <c r="Z896">
        <f t="shared" si="121"/>
        <v>7</v>
      </c>
      <c r="AA896">
        <f t="shared" si="122"/>
        <v>2</v>
      </c>
      <c r="AB896">
        <f t="shared" si="123"/>
        <v>2024</v>
      </c>
      <c r="AC896" t="str">
        <f t="shared" si="124"/>
        <v>Unique</v>
      </c>
      <c r="AD896" t="str">
        <f t="shared" si="125"/>
        <v>Clean</v>
      </c>
    </row>
    <row r="897" spans="1:30" x14ac:dyDescent="0.3">
      <c r="A897" t="s">
        <v>2758</v>
      </c>
      <c r="B897" s="2">
        <v>45601</v>
      </c>
      <c r="C897" s="2">
        <v>45606</v>
      </c>
      <c r="D897" t="s">
        <v>2759</v>
      </c>
      <c r="E897" t="s">
        <v>62</v>
      </c>
      <c r="F897" t="s">
        <v>33</v>
      </c>
      <c r="G897" t="s">
        <v>63</v>
      </c>
      <c r="H897" t="s">
        <v>194</v>
      </c>
      <c r="I897" t="s">
        <v>195</v>
      </c>
      <c r="J897" t="s">
        <v>50</v>
      </c>
      <c r="K897" t="s">
        <v>75</v>
      </c>
      <c r="L897" t="s">
        <v>2760</v>
      </c>
      <c r="M897" t="s">
        <v>53</v>
      </c>
      <c r="N897">
        <v>4</v>
      </c>
      <c r="O897">
        <v>711.18</v>
      </c>
      <c r="P897" s="3">
        <v>0.15</v>
      </c>
      <c r="Q897">
        <v>2418.0100000000002</v>
      </c>
      <c r="R897">
        <v>1441.89</v>
      </c>
      <c r="S897">
        <v>976.12</v>
      </c>
      <c r="T897" t="s">
        <v>120</v>
      </c>
      <c r="U897" t="s">
        <v>112</v>
      </c>
      <c r="V897" s="3">
        <f t="shared" si="117"/>
        <v>0.15</v>
      </c>
      <c r="W897">
        <f t="shared" si="118"/>
        <v>2418.0119999999997</v>
      </c>
      <c r="X897">
        <f t="shared" si="119"/>
        <v>976.12199999999962</v>
      </c>
      <c r="Y897" s="4">
        <f t="shared" si="120"/>
        <v>0.40368782288921634</v>
      </c>
      <c r="Z897">
        <f t="shared" si="121"/>
        <v>5</v>
      </c>
      <c r="AA897">
        <f t="shared" si="122"/>
        <v>11</v>
      </c>
      <c r="AB897">
        <f t="shared" si="123"/>
        <v>2024</v>
      </c>
      <c r="AC897" t="str">
        <f t="shared" si="124"/>
        <v>Unique</v>
      </c>
      <c r="AD897" t="str">
        <f t="shared" si="125"/>
        <v>Clean</v>
      </c>
    </row>
    <row r="898" spans="1:30" x14ac:dyDescent="0.3">
      <c r="A898" t="s">
        <v>2761</v>
      </c>
      <c r="B898" s="2">
        <v>45650</v>
      </c>
      <c r="C898" s="2">
        <v>45651</v>
      </c>
      <c r="D898" t="s">
        <v>2762</v>
      </c>
      <c r="E898" t="s">
        <v>71</v>
      </c>
      <c r="F898" t="s">
        <v>46</v>
      </c>
      <c r="G898" t="s">
        <v>63</v>
      </c>
      <c r="H898" t="s">
        <v>257</v>
      </c>
      <c r="I898" t="s">
        <v>258</v>
      </c>
      <c r="J898" t="s">
        <v>83</v>
      </c>
      <c r="K898" t="s">
        <v>89</v>
      </c>
      <c r="L898" t="s">
        <v>2763</v>
      </c>
      <c r="M898" t="s">
        <v>40</v>
      </c>
      <c r="N898">
        <v>1</v>
      </c>
      <c r="O898">
        <v>3693.03</v>
      </c>
      <c r="P898" s="3">
        <v>0.05</v>
      </c>
      <c r="Q898">
        <v>3508.38</v>
      </c>
      <c r="R898">
        <v>2828.06</v>
      </c>
      <c r="S898">
        <v>680.32</v>
      </c>
      <c r="T898" t="s">
        <v>164</v>
      </c>
      <c r="U898" t="s">
        <v>112</v>
      </c>
      <c r="V898" s="3">
        <f t="shared" ref="V898:V913" si="126">IF(P898="",0,IF(ISNUMBER(P898),ABS(P898),IF(RIGHT(P898,1)="%",VALUE(LEFT(P898,LEN(P898)-1))/100,P898)))</f>
        <v>0.05</v>
      </c>
      <c r="W898">
        <f t="shared" ref="W898:W961" si="127">N898*O898*(1-V898)</f>
        <v>3508.3784999999998</v>
      </c>
      <c r="X898">
        <f t="shared" ref="X898:X961" si="128">W898-R898</f>
        <v>680.31849999999986</v>
      </c>
      <c r="Y898" s="4">
        <f t="shared" ref="Y898:Y961" si="129">IF(W898=0,0,X898/W898)</f>
        <v>0.19391251542557336</v>
      </c>
      <c r="Z898">
        <f t="shared" ref="Z898:Z913" si="130">C898-B898</f>
        <v>1</v>
      </c>
      <c r="AA898">
        <f t="shared" ref="AA898:AA913" si="131">MONTH(B898)</f>
        <v>12</v>
      </c>
      <c r="AB898">
        <f t="shared" ref="AB898:AB913" si="132">YEAR(B898)</f>
        <v>2024</v>
      </c>
      <c r="AC898" t="str">
        <f t="shared" ref="AC898:AC913" si="133">IF(COUNTIF($A$2:$A$913,A898)&gt;1,"Conflict - Review","Unique")</f>
        <v>Unique</v>
      </c>
      <c r="AD898" t="str">
        <f t="shared" ref="AD898:AD961" si="134">IF(OR(C898&lt;B898,AND(ISNUMBER(P898),P898&lt;0),V898&gt;0.65,AC898="Conflict - Review"),"Invalid",IF(OR(G898="Unknown",M898="Unknown",T898="Failed",U898="Cancelled"),"Warning","Clean"))</f>
        <v>Warning</v>
      </c>
    </row>
    <row r="899" spans="1:30" x14ac:dyDescent="0.3">
      <c r="A899" t="s">
        <v>2764</v>
      </c>
      <c r="B899" s="2">
        <v>45776</v>
      </c>
      <c r="C899" s="2">
        <v>45780</v>
      </c>
      <c r="D899" t="s">
        <v>2131</v>
      </c>
      <c r="E899" t="s">
        <v>150</v>
      </c>
      <c r="F899" t="s">
        <v>99</v>
      </c>
      <c r="G899" t="s">
        <v>34</v>
      </c>
      <c r="H899" t="s">
        <v>246</v>
      </c>
      <c r="I899" t="s">
        <v>247</v>
      </c>
      <c r="J899" t="s">
        <v>37</v>
      </c>
      <c r="K899" t="s">
        <v>38</v>
      </c>
      <c r="L899" t="s">
        <v>2765</v>
      </c>
      <c r="M899" t="s">
        <v>59</v>
      </c>
      <c r="N899">
        <v>4</v>
      </c>
      <c r="O899">
        <v>1786.65</v>
      </c>
      <c r="P899" s="3">
        <v>0.05</v>
      </c>
      <c r="Q899">
        <v>6789.27</v>
      </c>
      <c r="R899">
        <v>5626.43</v>
      </c>
      <c r="S899">
        <v>1162.8399999999999</v>
      </c>
      <c r="T899" t="s">
        <v>41</v>
      </c>
      <c r="U899" t="s">
        <v>42</v>
      </c>
      <c r="V899" s="3">
        <f t="shared" si="126"/>
        <v>0.05</v>
      </c>
      <c r="W899">
        <f t="shared" si="127"/>
        <v>6789.27</v>
      </c>
      <c r="X899">
        <f t="shared" si="128"/>
        <v>1162.8400000000001</v>
      </c>
      <c r="Y899" s="4">
        <f t="shared" si="129"/>
        <v>0.17127614603631908</v>
      </c>
      <c r="Z899">
        <f t="shared" si="130"/>
        <v>4</v>
      </c>
      <c r="AA899">
        <f t="shared" si="131"/>
        <v>4</v>
      </c>
      <c r="AB899">
        <f t="shared" si="132"/>
        <v>2025</v>
      </c>
      <c r="AC899" t="str">
        <f t="shared" si="133"/>
        <v>Unique</v>
      </c>
      <c r="AD899" t="str">
        <f t="shared" si="134"/>
        <v>Clean</v>
      </c>
    </row>
    <row r="900" spans="1:30" x14ac:dyDescent="0.3">
      <c r="A900" t="s">
        <v>2766</v>
      </c>
      <c r="B900" s="2">
        <v>45445</v>
      </c>
      <c r="C900" s="2">
        <v>45451</v>
      </c>
      <c r="D900" t="s">
        <v>2767</v>
      </c>
      <c r="E900" t="s">
        <v>80</v>
      </c>
      <c r="F900" t="s">
        <v>33</v>
      </c>
      <c r="G900" t="s">
        <v>34</v>
      </c>
      <c r="H900" t="s">
        <v>360</v>
      </c>
      <c r="I900" t="s">
        <v>361</v>
      </c>
      <c r="J900" t="s">
        <v>50</v>
      </c>
      <c r="K900" t="s">
        <v>51</v>
      </c>
      <c r="L900" t="s">
        <v>2768</v>
      </c>
      <c r="M900" t="s">
        <v>59</v>
      </c>
      <c r="N900">
        <v>4</v>
      </c>
      <c r="O900">
        <v>1536.7</v>
      </c>
      <c r="P900" s="3">
        <v>0.2</v>
      </c>
      <c r="Q900">
        <v>4917.4399999999996</v>
      </c>
      <c r="R900">
        <v>3846.77</v>
      </c>
      <c r="S900">
        <v>1070.67</v>
      </c>
      <c r="T900" t="s">
        <v>41</v>
      </c>
      <c r="U900" t="s">
        <v>42</v>
      </c>
      <c r="V900" s="3">
        <f t="shared" si="126"/>
        <v>0.2</v>
      </c>
      <c r="W900">
        <f t="shared" si="127"/>
        <v>4917.4400000000005</v>
      </c>
      <c r="X900">
        <f t="shared" si="128"/>
        <v>1070.6700000000005</v>
      </c>
      <c r="Y900" s="4">
        <f t="shared" si="129"/>
        <v>0.21772914361944434</v>
      </c>
      <c r="Z900">
        <f t="shared" si="130"/>
        <v>6</v>
      </c>
      <c r="AA900">
        <f t="shared" si="131"/>
        <v>6</v>
      </c>
      <c r="AB900">
        <f t="shared" si="132"/>
        <v>2024</v>
      </c>
      <c r="AC900" t="str">
        <f t="shared" si="133"/>
        <v>Unique</v>
      </c>
      <c r="AD900" t="str">
        <f t="shared" si="134"/>
        <v>Clean</v>
      </c>
    </row>
    <row r="901" spans="1:30" x14ac:dyDescent="0.3">
      <c r="A901" t="s">
        <v>2769</v>
      </c>
      <c r="B901" s="2">
        <v>45804</v>
      </c>
      <c r="C901" s="2">
        <v>45811</v>
      </c>
      <c r="D901" t="s">
        <v>2770</v>
      </c>
      <c r="E901" t="s">
        <v>32</v>
      </c>
      <c r="F901" t="s">
        <v>33</v>
      </c>
      <c r="G901" t="s">
        <v>34</v>
      </c>
      <c r="H901" t="s">
        <v>131</v>
      </c>
      <c r="I901" t="s">
        <v>132</v>
      </c>
      <c r="J901" t="s">
        <v>50</v>
      </c>
      <c r="K901" t="s">
        <v>75</v>
      </c>
      <c r="L901" t="s">
        <v>2771</v>
      </c>
      <c r="M901" t="s">
        <v>59</v>
      </c>
      <c r="N901">
        <v>5</v>
      </c>
      <c r="O901">
        <v>881.08</v>
      </c>
      <c r="P901" s="3">
        <v>0.25</v>
      </c>
      <c r="Q901">
        <v>3304.05</v>
      </c>
      <c r="R901">
        <v>2279.41</v>
      </c>
      <c r="S901">
        <v>1024.6400000000001</v>
      </c>
      <c r="T901" t="s">
        <v>164</v>
      </c>
      <c r="U901" t="s">
        <v>77</v>
      </c>
      <c r="V901" s="3">
        <f t="shared" si="126"/>
        <v>0.25</v>
      </c>
      <c r="W901">
        <f t="shared" si="127"/>
        <v>3304.05</v>
      </c>
      <c r="X901">
        <f t="shared" si="128"/>
        <v>1024.6400000000003</v>
      </c>
      <c r="Y901" s="4">
        <f t="shared" si="129"/>
        <v>0.31011637233092726</v>
      </c>
      <c r="Z901">
        <f t="shared" si="130"/>
        <v>7</v>
      </c>
      <c r="AA901">
        <f t="shared" si="131"/>
        <v>5</v>
      </c>
      <c r="AB901">
        <f t="shared" si="132"/>
        <v>2025</v>
      </c>
      <c r="AC901" t="str">
        <f t="shared" si="133"/>
        <v>Unique</v>
      </c>
      <c r="AD901" t="str">
        <f t="shared" si="134"/>
        <v>Warning</v>
      </c>
    </row>
    <row r="902" spans="1:30" x14ac:dyDescent="0.3">
      <c r="A902" t="s">
        <v>1108</v>
      </c>
      <c r="B902" s="2">
        <v>45630</v>
      </c>
      <c r="C902" s="2">
        <v>45632</v>
      </c>
      <c r="D902" t="s">
        <v>1109</v>
      </c>
      <c r="E902" t="s">
        <v>141</v>
      </c>
      <c r="F902" t="s">
        <v>104</v>
      </c>
      <c r="G902" t="s">
        <v>47</v>
      </c>
      <c r="H902" t="s">
        <v>48</v>
      </c>
      <c r="I902" t="s">
        <v>49</v>
      </c>
      <c r="J902" t="s">
        <v>37</v>
      </c>
      <c r="K902" t="s">
        <v>162</v>
      </c>
      <c r="L902" t="s">
        <v>1110</v>
      </c>
      <c r="M902" t="s">
        <v>40</v>
      </c>
      <c r="N902">
        <v>4</v>
      </c>
      <c r="O902">
        <v>2685.66</v>
      </c>
      <c r="P902" s="3">
        <v>0</v>
      </c>
      <c r="Q902">
        <v>10989.89</v>
      </c>
      <c r="R902">
        <v>6477.37</v>
      </c>
      <c r="S902">
        <v>4265.2700000000004</v>
      </c>
      <c r="T902" t="s">
        <v>41</v>
      </c>
      <c r="U902" t="s">
        <v>42</v>
      </c>
      <c r="V902" s="3">
        <f t="shared" si="126"/>
        <v>0</v>
      </c>
      <c r="W902">
        <f t="shared" si="127"/>
        <v>10742.64</v>
      </c>
      <c r="X902">
        <f t="shared" si="128"/>
        <v>4265.2699999999995</v>
      </c>
      <c r="Y902" s="4">
        <f t="shared" si="129"/>
        <v>0.39704113700170535</v>
      </c>
      <c r="Z902">
        <f t="shared" si="130"/>
        <v>2</v>
      </c>
      <c r="AA902">
        <f t="shared" si="131"/>
        <v>12</v>
      </c>
      <c r="AB902">
        <f t="shared" si="132"/>
        <v>2024</v>
      </c>
      <c r="AC902" t="str">
        <f t="shared" si="133"/>
        <v>Conflict - Review</v>
      </c>
      <c r="AD902" t="str">
        <f t="shared" si="134"/>
        <v>Invalid</v>
      </c>
    </row>
    <row r="903" spans="1:30" x14ac:dyDescent="0.3">
      <c r="A903" t="s">
        <v>390</v>
      </c>
      <c r="B903" s="2">
        <v>45893</v>
      </c>
      <c r="C903" s="2">
        <v>45898</v>
      </c>
      <c r="D903" t="s">
        <v>391</v>
      </c>
      <c r="E903" t="s">
        <v>137</v>
      </c>
      <c r="F903" t="s">
        <v>46</v>
      </c>
      <c r="G903" t="s">
        <v>47</v>
      </c>
      <c r="H903" t="s">
        <v>154</v>
      </c>
      <c r="I903" t="s">
        <v>155</v>
      </c>
      <c r="J903" t="s">
        <v>83</v>
      </c>
      <c r="K903" t="s">
        <v>89</v>
      </c>
      <c r="L903" t="s">
        <v>392</v>
      </c>
      <c r="M903" t="s">
        <v>59</v>
      </c>
      <c r="N903">
        <v>3</v>
      </c>
      <c r="O903">
        <v>3703.96</v>
      </c>
      <c r="P903" s="3">
        <v>0.15</v>
      </c>
      <c r="Q903">
        <v>9549.44</v>
      </c>
      <c r="R903">
        <v>5586.28</v>
      </c>
      <c r="S903">
        <v>3858.82</v>
      </c>
      <c r="T903" t="s">
        <v>41</v>
      </c>
      <c r="U903" t="s">
        <v>112</v>
      </c>
      <c r="V903" s="3">
        <f t="shared" si="126"/>
        <v>0.15</v>
      </c>
      <c r="W903">
        <f t="shared" si="127"/>
        <v>9445.098</v>
      </c>
      <c r="X903">
        <f t="shared" si="128"/>
        <v>3858.8180000000002</v>
      </c>
      <c r="Y903" s="4">
        <f t="shared" si="129"/>
        <v>0.40855245758170006</v>
      </c>
      <c r="Z903">
        <f t="shared" si="130"/>
        <v>5</v>
      </c>
      <c r="AA903">
        <f t="shared" si="131"/>
        <v>8</v>
      </c>
      <c r="AB903">
        <f t="shared" si="132"/>
        <v>2025</v>
      </c>
      <c r="AC903" t="str">
        <f t="shared" si="133"/>
        <v>Conflict - Review</v>
      </c>
      <c r="AD903" t="str">
        <f t="shared" si="134"/>
        <v>Invalid</v>
      </c>
    </row>
    <row r="904" spans="1:30" x14ac:dyDescent="0.3">
      <c r="A904" t="s">
        <v>1232</v>
      </c>
      <c r="B904" s="2">
        <v>45760</v>
      </c>
      <c r="C904" s="2">
        <v>45760</v>
      </c>
      <c r="D904" t="s">
        <v>1233</v>
      </c>
      <c r="E904" t="s">
        <v>141</v>
      </c>
      <c r="F904" t="s">
        <v>46</v>
      </c>
      <c r="G904" t="s">
        <v>34</v>
      </c>
      <c r="H904" t="s">
        <v>145</v>
      </c>
      <c r="I904" t="s">
        <v>146</v>
      </c>
      <c r="J904" t="s">
        <v>37</v>
      </c>
      <c r="K904" t="s">
        <v>133</v>
      </c>
      <c r="L904" t="s">
        <v>1234</v>
      </c>
      <c r="M904" t="s">
        <v>40</v>
      </c>
      <c r="N904">
        <v>9</v>
      </c>
      <c r="O904">
        <v>1118.68</v>
      </c>
      <c r="P904" s="3">
        <v>0</v>
      </c>
      <c r="Q904">
        <v>10348.43</v>
      </c>
      <c r="R904">
        <v>8595.3700000000008</v>
      </c>
      <c r="S904">
        <v>1472.75</v>
      </c>
      <c r="T904" t="s">
        <v>41</v>
      </c>
      <c r="U904" t="s">
        <v>112</v>
      </c>
      <c r="V904" s="3">
        <f t="shared" si="126"/>
        <v>0</v>
      </c>
      <c r="W904">
        <f t="shared" si="127"/>
        <v>10068.120000000001</v>
      </c>
      <c r="X904">
        <f t="shared" si="128"/>
        <v>1472.75</v>
      </c>
      <c r="Y904" s="4">
        <f t="shared" si="129"/>
        <v>0.14627855051389932</v>
      </c>
      <c r="Z904">
        <f t="shared" si="130"/>
        <v>0</v>
      </c>
      <c r="AA904">
        <f t="shared" si="131"/>
        <v>4</v>
      </c>
      <c r="AB904">
        <f t="shared" si="132"/>
        <v>2025</v>
      </c>
      <c r="AC904" t="str">
        <f t="shared" si="133"/>
        <v>Conflict - Review</v>
      </c>
      <c r="AD904" t="str">
        <f t="shared" si="134"/>
        <v>Invalid</v>
      </c>
    </row>
    <row r="905" spans="1:30" x14ac:dyDescent="0.3">
      <c r="A905" t="s">
        <v>790</v>
      </c>
      <c r="B905" s="2">
        <v>45932</v>
      </c>
      <c r="C905" s="2">
        <v>45938</v>
      </c>
      <c r="D905" t="s">
        <v>791</v>
      </c>
      <c r="E905" t="s">
        <v>56</v>
      </c>
      <c r="F905" t="s">
        <v>46</v>
      </c>
      <c r="G905" t="s">
        <v>34</v>
      </c>
      <c r="H905" t="s">
        <v>131</v>
      </c>
      <c r="I905" t="s">
        <v>132</v>
      </c>
      <c r="J905" t="s">
        <v>50</v>
      </c>
      <c r="K905" t="s">
        <v>66</v>
      </c>
      <c r="L905" t="s">
        <v>792</v>
      </c>
      <c r="M905" t="s">
        <v>68</v>
      </c>
      <c r="N905">
        <v>4</v>
      </c>
      <c r="O905">
        <v>3944.64</v>
      </c>
      <c r="P905" s="3">
        <v>0.25</v>
      </c>
      <c r="Q905">
        <v>12116.89</v>
      </c>
      <c r="R905">
        <v>6682.92</v>
      </c>
      <c r="S905">
        <v>5151</v>
      </c>
      <c r="T905" t="s">
        <v>41</v>
      </c>
      <c r="U905" t="s">
        <v>112</v>
      </c>
      <c r="V905" s="3">
        <f t="shared" si="126"/>
        <v>0.25</v>
      </c>
      <c r="W905">
        <f t="shared" si="127"/>
        <v>11833.92</v>
      </c>
      <c r="X905">
        <f t="shared" si="128"/>
        <v>5151</v>
      </c>
      <c r="Y905" s="4">
        <f t="shared" si="129"/>
        <v>0.43527419485681834</v>
      </c>
      <c r="Z905">
        <f t="shared" si="130"/>
        <v>6</v>
      </c>
      <c r="AA905">
        <f t="shared" si="131"/>
        <v>10</v>
      </c>
      <c r="AB905">
        <f t="shared" si="132"/>
        <v>2025</v>
      </c>
      <c r="AC905" t="str">
        <f t="shared" si="133"/>
        <v>Conflict - Review</v>
      </c>
      <c r="AD905" t="str">
        <f t="shared" si="134"/>
        <v>Invalid</v>
      </c>
    </row>
    <row r="906" spans="1:30" x14ac:dyDescent="0.3">
      <c r="A906" t="s">
        <v>1058</v>
      </c>
      <c r="B906" s="2">
        <v>45795</v>
      </c>
      <c r="C906" s="2">
        <v>45797</v>
      </c>
      <c r="D906" t="s">
        <v>1059</v>
      </c>
      <c r="E906" t="s">
        <v>56</v>
      </c>
      <c r="F906" t="s">
        <v>99</v>
      </c>
      <c r="G906" t="s">
        <v>72</v>
      </c>
      <c r="H906" t="s">
        <v>81</v>
      </c>
      <c r="I906" t="s">
        <v>82</v>
      </c>
      <c r="J906" t="s">
        <v>37</v>
      </c>
      <c r="K906" t="s">
        <v>100</v>
      </c>
      <c r="L906" t="s">
        <v>1060</v>
      </c>
      <c r="M906" t="s">
        <v>68</v>
      </c>
      <c r="N906">
        <v>9</v>
      </c>
      <c r="O906">
        <v>847.76</v>
      </c>
      <c r="P906" s="3">
        <v>0.15</v>
      </c>
      <c r="Q906">
        <v>6589.37</v>
      </c>
      <c r="R906">
        <v>5376.17</v>
      </c>
      <c r="S906">
        <v>1109.19</v>
      </c>
      <c r="T906" t="s">
        <v>164</v>
      </c>
      <c r="U906" t="s">
        <v>42</v>
      </c>
      <c r="V906" s="3">
        <f t="shared" si="126"/>
        <v>0.15</v>
      </c>
      <c r="W906">
        <f t="shared" si="127"/>
        <v>6485.3639999999996</v>
      </c>
      <c r="X906">
        <f t="shared" si="128"/>
        <v>1109.1939999999995</v>
      </c>
      <c r="Y906" s="4">
        <f t="shared" si="129"/>
        <v>0.17103033846673826</v>
      </c>
      <c r="Z906">
        <f t="shared" si="130"/>
        <v>2</v>
      </c>
      <c r="AA906">
        <f t="shared" si="131"/>
        <v>5</v>
      </c>
      <c r="AB906">
        <f t="shared" si="132"/>
        <v>2025</v>
      </c>
      <c r="AC906" t="str">
        <f t="shared" si="133"/>
        <v>Conflict - Review</v>
      </c>
      <c r="AD906" t="str">
        <f t="shared" si="134"/>
        <v>Invalid</v>
      </c>
    </row>
    <row r="907" spans="1:30" x14ac:dyDescent="0.3">
      <c r="A907" t="s">
        <v>629</v>
      </c>
      <c r="B907" s="2">
        <v>45907</v>
      </c>
      <c r="C907" s="2">
        <v>45915</v>
      </c>
      <c r="D907" t="s">
        <v>630</v>
      </c>
      <c r="E907" t="s">
        <v>150</v>
      </c>
      <c r="F907" t="s">
        <v>99</v>
      </c>
      <c r="G907" t="s">
        <v>47</v>
      </c>
      <c r="H907" t="s">
        <v>154</v>
      </c>
      <c r="I907" t="s">
        <v>155</v>
      </c>
      <c r="J907" t="s">
        <v>83</v>
      </c>
      <c r="K907" t="s">
        <v>89</v>
      </c>
      <c r="L907" t="s">
        <v>631</v>
      </c>
      <c r="M907" t="s">
        <v>68</v>
      </c>
      <c r="N907">
        <v>3</v>
      </c>
      <c r="O907">
        <v>1711.32</v>
      </c>
      <c r="P907" s="3">
        <v>0</v>
      </c>
      <c r="Q907">
        <v>5206.53</v>
      </c>
      <c r="R907">
        <v>3930</v>
      </c>
      <c r="S907">
        <v>1203.96</v>
      </c>
      <c r="T907" t="s">
        <v>41</v>
      </c>
      <c r="U907" t="s">
        <v>112</v>
      </c>
      <c r="V907" s="3">
        <f t="shared" si="126"/>
        <v>0</v>
      </c>
      <c r="W907">
        <f t="shared" si="127"/>
        <v>5133.96</v>
      </c>
      <c r="X907">
        <f t="shared" si="128"/>
        <v>1203.96</v>
      </c>
      <c r="Y907" s="4">
        <f t="shared" si="129"/>
        <v>0.23450903396208775</v>
      </c>
      <c r="Z907">
        <f t="shared" si="130"/>
        <v>8</v>
      </c>
      <c r="AA907">
        <f t="shared" si="131"/>
        <v>9</v>
      </c>
      <c r="AB907">
        <f t="shared" si="132"/>
        <v>2025</v>
      </c>
      <c r="AC907" t="str">
        <f t="shared" si="133"/>
        <v>Conflict - Review</v>
      </c>
      <c r="AD907" t="str">
        <f t="shared" si="134"/>
        <v>Invalid</v>
      </c>
    </row>
    <row r="908" spans="1:30" x14ac:dyDescent="0.3">
      <c r="A908" t="s">
        <v>1381</v>
      </c>
      <c r="B908" s="2">
        <v>45342</v>
      </c>
      <c r="C908" s="2">
        <v>45349</v>
      </c>
      <c r="D908" t="s">
        <v>1382</v>
      </c>
      <c r="E908" t="s">
        <v>171</v>
      </c>
      <c r="F908" t="s">
        <v>33</v>
      </c>
      <c r="G908" t="s">
        <v>63</v>
      </c>
      <c r="H908" t="s">
        <v>194</v>
      </c>
      <c r="I908" t="s">
        <v>195</v>
      </c>
      <c r="J908" t="s">
        <v>83</v>
      </c>
      <c r="K908" t="s">
        <v>84</v>
      </c>
      <c r="L908" t="s">
        <v>1383</v>
      </c>
      <c r="M908" t="s">
        <v>59</v>
      </c>
      <c r="N908">
        <v>9</v>
      </c>
      <c r="O908">
        <v>3779.31</v>
      </c>
      <c r="P908" s="3">
        <v>0.2</v>
      </c>
      <c r="Q908">
        <v>27322.9</v>
      </c>
      <c r="R908">
        <v>17940.43</v>
      </c>
      <c r="S908">
        <v>9270.6</v>
      </c>
      <c r="T908" t="s">
        <v>41</v>
      </c>
      <c r="U908" t="s">
        <v>112</v>
      </c>
      <c r="V908" s="3">
        <f t="shared" si="126"/>
        <v>0.2</v>
      </c>
      <c r="W908">
        <f t="shared" si="127"/>
        <v>27211.032000000003</v>
      </c>
      <c r="X908">
        <f t="shared" si="128"/>
        <v>9270.6020000000026</v>
      </c>
      <c r="Y908" s="4">
        <f t="shared" si="129"/>
        <v>0.34069277490100347</v>
      </c>
      <c r="Z908">
        <f t="shared" si="130"/>
        <v>7</v>
      </c>
      <c r="AA908">
        <f t="shared" si="131"/>
        <v>2</v>
      </c>
      <c r="AB908">
        <f t="shared" si="132"/>
        <v>2024</v>
      </c>
      <c r="AC908" t="str">
        <f t="shared" si="133"/>
        <v>Conflict - Review</v>
      </c>
      <c r="AD908" t="str">
        <f t="shared" si="134"/>
        <v>Invalid</v>
      </c>
    </row>
    <row r="909" spans="1:30" x14ac:dyDescent="0.3">
      <c r="A909" t="s">
        <v>1819</v>
      </c>
      <c r="B909" s="2">
        <v>45698</v>
      </c>
      <c r="C909" s="2">
        <v>45702</v>
      </c>
      <c r="D909" t="s">
        <v>1820</v>
      </c>
      <c r="E909" t="s">
        <v>123</v>
      </c>
      <c r="F909" t="s">
        <v>46</v>
      </c>
      <c r="G909" t="s">
        <v>34</v>
      </c>
      <c r="H909" t="s">
        <v>145</v>
      </c>
      <c r="I909" t="s">
        <v>146</v>
      </c>
      <c r="J909" t="s">
        <v>83</v>
      </c>
      <c r="K909" t="s">
        <v>180</v>
      </c>
      <c r="L909" t="s">
        <v>1821</v>
      </c>
      <c r="M909" t="s">
        <v>214</v>
      </c>
      <c r="N909">
        <v>5</v>
      </c>
      <c r="O909">
        <v>4276.29</v>
      </c>
      <c r="P909" s="3">
        <v>0</v>
      </c>
      <c r="Q909">
        <v>21443.63</v>
      </c>
      <c r="R909">
        <v>13240.21</v>
      </c>
      <c r="S909">
        <v>8141.24</v>
      </c>
      <c r="T909" t="s">
        <v>164</v>
      </c>
      <c r="U909" t="s">
        <v>42</v>
      </c>
      <c r="V909" s="3">
        <f t="shared" si="126"/>
        <v>0</v>
      </c>
      <c r="W909">
        <f t="shared" si="127"/>
        <v>21381.45</v>
      </c>
      <c r="X909">
        <f t="shared" si="128"/>
        <v>8141.2400000000016</v>
      </c>
      <c r="Y909" s="4">
        <f t="shared" si="129"/>
        <v>0.38076182859441249</v>
      </c>
      <c r="Z909">
        <f t="shared" si="130"/>
        <v>4</v>
      </c>
      <c r="AA909">
        <f t="shared" si="131"/>
        <v>2</v>
      </c>
      <c r="AB909">
        <f t="shared" si="132"/>
        <v>2025</v>
      </c>
      <c r="AC909" t="str">
        <f t="shared" si="133"/>
        <v>Conflict - Review</v>
      </c>
      <c r="AD909" t="str">
        <f t="shared" si="134"/>
        <v>Invalid</v>
      </c>
    </row>
    <row r="910" spans="1:30" x14ac:dyDescent="0.3">
      <c r="A910" t="s">
        <v>546</v>
      </c>
      <c r="B910" s="2">
        <v>45381</v>
      </c>
      <c r="C910" s="2">
        <v>45377</v>
      </c>
      <c r="D910" t="s">
        <v>547</v>
      </c>
      <c r="E910" t="s">
        <v>98</v>
      </c>
      <c r="F910" t="s">
        <v>104</v>
      </c>
      <c r="G910" t="s">
        <v>34</v>
      </c>
      <c r="H910" t="s">
        <v>35</v>
      </c>
      <c r="I910" t="s">
        <v>36</v>
      </c>
      <c r="J910" t="s">
        <v>83</v>
      </c>
      <c r="K910" t="s">
        <v>180</v>
      </c>
      <c r="L910" t="s">
        <v>548</v>
      </c>
      <c r="M910" t="s">
        <v>40</v>
      </c>
      <c r="N910">
        <v>5</v>
      </c>
      <c r="O910">
        <v>907.54</v>
      </c>
      <c r="P910" s="3">
        <v>0.15</v>
      </c>
      <c r="Q910">
        <v>4099.6899999999996</v>
      </c>
      <c r="R910">
        <v>2769.26</v>
      </c>
      <c r="S910">
        <v>1087.78</v>
      </c>
      <c r="T910" t="s">
        <v>41</v>
      </c>
      <c r="U910" t="s">
        <v>112</v>
      </c>
      <c r="V910" s="3">
        <f t="shared" si="126"/>
        <v>0.15</v>
      </c>
      <c r="W910">
        <f t="shared" si="127"/>
        <v>3857.0449999999996</v>
      </c>
      <c r="X910">
        <f t="shared" si="128"/>
        <v>1087.7849999999994</v>
      </c>
      <c r="Y910" s="4">
        <f t="shared" si="129"/>
        <v>0.28202548842442843</v>
      </c>
      <c r="Z910">
        <f t="shared" si="130"/>
        <v>-4</v>
      </c>
      <c r="AA910">
        <f t="shared" si="131"/>
        <v>3</v>
      </c>
      <c r="AB910">
        <f t="shared" si="132"/>
        <v>2024</v>
      </c>
      <c r="AC910" t="str">
        <f t="shared" si="133"/>
        <v>Conflict - Review</v>
      </c>
      <c r="AD910" t="str">
        <f t="shared" si="134"/>
        <v>Invalid</v>
      </c>
    </row>
    <row r="911" spans="1:30" x14ac:dyDescent="0.3">
      <c r="A911" t="s">
        <v>933</v>
      </c>
      <c r="B911" s="2">
        <v>45522</v>
      </c>
      <c r="C911" s="2">
        <v>45528</v>
      </c>
      <c r="D911" t="s">
        <v>934</v>
      </c>
      <c r="E911" t="s">
        <v>62</v>
      </c>
      <c r="F911" t="s">
        <v>33</v>
      </c>
      <c r="G911" t="s">
        <v>63</v>
      </c>
      <c r="H911" t="s">
        <v>93</v>
      </c>
      <c r="I911" t="s">
        <v>94</v>
      </c>
      <c r="J911" t="s">
        <v>50</v>
      </c>
      <c r="K911" t="s">
        <v>75</v>
      </c>
      <c r="L911" t="s">
        <v>935</v>
      </c>
      <c r="M911" t="s">
        <v>59</v>
      </c>
      <c r="N911">
        <v>7</v>
      </c>
      <c r="O911">
        <v>557.21</v>
      </c>
      <c r="P911" s="3">
        <v>0.1</v>
      </c>
      <c r="Q911">
        <v>3797.79</v>
      </c>
      <c r="R911">
        <v>2191.5</v>
      </c>
      <c r="S911">
        <v>1213.48</v>
      </c>
      <c r="T911" t="s">
        <v>41</v>
      </c>
      <c r="U911" t="s">
        <v>112</v>
      </c>
      <c r="V911" s="3">
        <f t="shared" si="126"/>
        <v>0.1</v>
      </c>
      <c r="W911">
        <f t="shared" si="127"/>
        <v>3510.4230000000002</v>
      </c>
      <c r="X911">
        <f t="shared" si="128"/>
        <v>1318.9230000000002</v>
      </c>
      <c r="Y911" s="4">
        <f t="shared" si="129"/>
        <v>0.37571625983535323</v>
      </c>
      <c r="Z911">
        <f t="shared" si="130"/>
        <v>6</v>
      </c>
      <c r="AA911">
        <f t="shared" si="131"/>
        <v>8</v>
      </c>
      <c r="AB911">
        <f t="shared" si="132"/>
        <v>2024</v>
      </c>
      <c r="AC911" t="str">
        <f t="shared" si="133"/>
        <v>Conflict - Review</v>
      </c>
      <c r="AD911" t="str">
        <f t="shared" si="134"/>
        <v>Invalid</v>
      </c>
    </row>
    <row r="912" spans="1:30" x14ac:dyDescent="0.3">
      <c r="A912" t="s">
        <v>489</v>
      </c>
      <c r="B912" s="2">
        <v>45436</v>
      </c>
      <c r="C912" s="2">
        <v>45437</v>
      </c>
      <c r="D912" t="s">
        <v>490</v>
      </c>
      <c r="E912" t="s">
        <v>141</v>
      </c>
      <c r="F912" t="s">
        <v>46</v>
      </c>
      <c r="G912" t="s">
        <v>34</v>
      </c>
      <c r="H912" t="s">
        <v>131</v>
      </c>
      <c r="I912" t="s">
        <v>132</v>
      </c>
      <c r="J912" t="s">
        <v>83</v>
      </c>
      <c r="K912" t="s">
        <v>89</v>
      </c>
      <c r="L912" t="s">
        <v>491</v>
      </c>
      <c r="M912" t="s">
        <v>53</v>
      </c>
      <c r="N912">
        <v>1</v>
      </c>
      <c r="O912">
        <v>634.13</v>
      </c>
      <c r="P912" s="3">
        <v>0</v>
      </c>
      <c r="Q912">
        <v>808.67</v>
      </c>
      <c r="R912">
        <v>453.35</v>
      </c>
      <c r="S912">
        <v>180.78</v>
      </c>
      <c r="T912" t="s">
        <v>111</v>
      </c>
      <c r="U912" t="s">
        <v>112</v>
      </c>
      <c r="V912" s="3">
        <f t="shared" si="126"/>
        <v>0</v>
      </c>
      <c r="W912">
        <f t="shared" si="127"/>
        <v>634.13</v>
      </c>
      <c r="X912">
        <f t="shared" si="128"/>
        <v>180.77999999999997</v>
      </c>
      <c r="Y912" s="4">
        <f t="shared" si="129"/>
        <v>0.28508350022865969</v>
      </c>
      <c r="Z912">
        <f t="shared" si="130"/>
        <v>1</v>
      </c>
      <c r="AA912">
        <f t="shared" si="131"/>
        <v>5</v>
      </c>
      <c r="AB912">
        <f t="shared" si="132"/>
        <v>2024</v>
      </c>
      <c r="AC912" t="str">
        <f t="shared" si="133"/>
        <v>Conflict - Review</v>
      </c>
      <c r="AD912" t="str">
        <f t="shared" si="134"/>
        <v>Invalid</v>
      </c>
    </row>
    <row r="913" spans="1:30" x14ac:dyDescent="0.3">
      <c r="A913" t="s">
        <v>1120</v>
      </c>
      <c r="B913" s="2">
        <v>45824</v>
      </c>
      <c r="C913" s="2">
        <v>45826</v>
      </c>
      <c r="D913" t="s">
        <v>1121</v>
      </c>
      <c r="E913" t="s">
        <v>127</v>
      </c>
      <c r="F913" t="s">
        <v>104</v>
      </c>
      <c r="G913" t="s">
        <v>72</v>
      </c>
      <c r="H913" t="s">
        <v>81</v>
      </c>
      <c r="I913" t="s">
        <v>82</v>
      </c>
      <c r="J913" t="s">
        <v>37</v>
      </c>
      <c r="K913" t="s">
        <v>38</v>
      </c>
      <c r="L913" t="s">
        <v>1122</v>
      </c>
      <c r="M913" t="s">
        <v>59</v>
      </c>
      <c r="N913">
        <v>3</v>
      </c>
      <c r="O913">
        <v>4289.37</v>
      </c>
      <c r="P913" s="3">
        <v>0.1</v>
      </c>
      <c r="Q913">
        <v>11778.71</v>
      </c>
      <c r="R913">
        <v>6829.43</v>
      </c>
      <c r="S913">
        <v>4751.87</v>
      </c>
      <c r="T913" t="s">
        <v>41</v>
      </c>
      <c r="U913" t="s">
        <v>112</v>
      </c>
      <c r="V913" s="3">
        <f t="shared" si="126"/>
        <v>0.1</v>
      </c>
      <c r="W913">
        <f t="shared" si="127"/>
        <v>11581.299000000001</v>
      </c>
      <c r="X913">
        <f t="shared" si="128"/>
        <v>4751.8690000000006</v>
      </c>
      <c r="Y913" s="4">
        <f t="shared" si="129"/>
        <v>0.41030535521101735</v>
      </c>
      <c r="Z913">
        <f t="shared" si="130"/>
        <v>2</v>
      </c>
      <c r="AA913">
        <f t="shared" si="131"/>
        <v>6</v>
      </c>
      <c r="AB913">
        <f t="shared" si="132"/>
        <v>2025</v>
      </c>
      <c r="AC913" t="str">
        <f t="shared" si="133"/>
        <v>Conflict - Review</v>
      </c>
      <c r="AD913" t="str">
        <f t="shared" si="134"/>
        <v>Invalid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Nevil Bhalodiya</cp:lastModifiedBy>
  <cp:revision>0</cp:revision>
  <dcterms:created xsi:type="dcterms:W3CDTF">2026-06-27T11:39:23Z</dcterms:created>
  <dcterms:modified xsi:type="dcterms:W3CDTF">2026-06-28T03:43:52Z</dcterms:modified>
  <dc:language>en-US</dc:language>
</cp:coreProperties>
</file>